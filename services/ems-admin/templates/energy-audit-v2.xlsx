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KevinData0802\0.永信豐股份有限公司60768712\減碳協會\節能\"/>
    </mc:Choice>
  </mc:AlternateContent>
  <xr:revisionPtr revIDLastSave="0" documentId="13_ncr:1_{3FA944D2-DEE5-44B6-B4C4-42D991C84DF6}" xr6:coauthVersionLast="47" xr6:coauthVersionMax="47" xr10:uidLastSave="{00000000-0000-0000-0000-000000000000}"/>
  <bookViews>
    <workbookView xWindow="360" yWindow="0" windowWidth="18310" windowHeight="11270" tabRatio="797" xr2:uid="{31F080CF-15BA-7543-86A2-8E749FA1A940}"/>
  </bookViews>
  <sheets>
    <sheet name="表Z｜基本資料" sheetId="4" r:id="rId1"/>
    <sheet name="表P｜用電統計" sheetId="6" r:id="rId2"/>
    <sheet name="表E｜能源設備盤查" sheetId="11" r:id="rId3"/>
    <sheet name="表A 冰水主機" sheetId="48" r:id="rId4"/>
    <sheet name="表B-1｜停車場風機" sheetId="45" r:id="rId5"/>
    <sheet name="表B-2｜屋頂風機" sheetId="46" r:id="rId6"/>
    <sheet name="表L｜照明" sheetId="17" r:id="rId7"/>
    <sheet name="表H-1｜熱泵" sheetId="24" r:id="rId8"/>
    <sheet name="表H-2｜鍋爐" sheetId="25" r:id="rId9"/>
    <sheet name="表PF｜電能" sheetId="47" r:id="rId10"/>
    <sheet name="表S-1｜節能措施" sheetId="16" r:id="rId11"/>
    <sheet name="表S-2｜節能措施追蹤" sheetId="43" r:id="rId12"/>
    <sheet name="表T｜成效彙總表" sheetId="42" r:id="rId13"/>
  </sheets>
  <definedNames>
    <definedName name="_xlnm.Print_Area" localSheetId="2">'表E｜能源設備盤查'!$B$1:$N$59</definedName>
    <definedName name="_xlnm.Print_Area" localSheetId="7">'表H-1｜熱泵'!$B$1:$D$13</definedName>
    <definedName name="_xlnm.Print_Area" localSheetId="8">'表H-2｜鍋爐'!#REF!</definedName>
    <definedName name="_xlnm.Print_Area" localSheetId="6">'表L｜照明'!$B$1:$D$18</definedName>
    <definedName name="_xlnm.Print_Area" localSheetId="1">'表P｜用電統計'!$B$1:$AF$20</definedName>
    <definedName name="_xlnm.Print_Area" localSheetId="10">'表S-1｜節能措施'!$B$3:$E$22</definedName>
    <definedName name="_xlnm.Print_Area" localSheetId="11">'表S-2｜節能措施追蹤'!$A$1:$F$23</definedName>
    <definedName name="_xlnm.Print_Area" localSheetId="12">'表T｜成效彙總表'!$B$1:$G$23</definedName>
    <definedName name="_xlnm.Print_Area" localSheetId="0">'表Z｜基本資料'!$B:$O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7" i="25" l="1"/>
  <c r="I26" i="25"/>
  <c r="I25" i="25"/>
  <c r="I24" i="25"/>
  <c r="I23" i="25"/>
  <c r="I22" i="25"/>
  <c r="I21" i="25"/>
  <c r="I20" i="25"/>
  <c r="I19" i="25"/>
  <c r="I18" i="25"/>
  <c r="I17" i="25"/>
  <c r="I16" i="25"/>
  <c r="I28" i="25" s="1"/>
  <c r="F27" i="25"/>
  <c r="F26" i="25"/>
  <c r="F25" i="25"/>
  <c r="F24" i="25"/>
  <c r="F23" i="25"/>
  <c r="F22" i="25"/>
  <c r="F21" i="25"/>
  <c r="F20" i="25"/>
  <c r="F19" i="25"/>
  <c r="F18" i="25"/>
  <c r="F17" i="25"/>
  <c r="F16" i="25"/>
  <c r="F28" i="25" s="1"/>
  <c r="M6" i="11" l="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" i="11"/>
  <c r="D22" i="42"/>
  <c r="E21" i="42"/>
  <c r="F21" i="42"/>
  <c r="E22" i="42"/>
  <c r="F22" i="42"/>
  <c r="D21" i="42"/>
  <c r="F20" i="42"/>
  <c r="E20" i="42"/>
  <c r="D20" i="42"/>
  <c r="F19" i="42"/>
  <c r="E19" i="42"/>
  <c r="D19" i="42"/>
  <c r="F10" i="42"/>
  <c r="E10" i="42"/>
  <c r="D10" i="42"/>
  <c r="F7" i="42"/>
  <c r="E7" i="42"/>
  <c r="D7" i="42"/>
  <c r="D5" i="42"/>
  <c r="E5" i="42"/>
  <c r="F5" i="42"/>
  <c r="F4" i="42"/>
  <c r="E4" i="42"/>
  <c r="D4" i="42"/>
  <c r="H13" i="16"/>
  <c r="H16" i="16" s="1"/>
  <c r="F13" i="16"/>
  <c r="F16" i="16" s="1"/>
  <c r="D13" i="16"/>
  <c r="D15" i="16" s="1"/>
  <c r="J28" i="25"/>
  <c r="L27" i="25"/>
  <c r="L26" i="25"/>
  <c r="L25" i="25"/>
  <c r="L24" i="25"/>
  <c r="L23" i="25"/>
  <c r="L22" i="25"/>
  <c r="L21" i="25"/>
  <c r="L20" i="25"/>
  <c r="L19" i="25"/>
  <c r="L18" i="25"/>
  <c r="L17" i="25"/>
  <c r="L16" i="25"/>
  <c r="L28" i="25" s="1"/>
  <c r="G28" i="25"/>
  <c r="D28" i="25"/>
  <c r="D16" i="16" l="1"/>
  <c r="H15" i="16"/>
  <c r="F15" i="16"/>
  <c r="T9" i="6" l="1"/>
  <c r="T10" i="6"/>
  <c r="T11" i="6"/>
  <c r="T12" i="6"/>
  <c r="T13" i="6"/>
  <c r="T14" i="6"/>
  <c r="T15" i="6"/>
  <c r="T16" i="6"/>
  <c r="T17" i="6"/>
  <c r="T18" i="6"/>
  <c r="T19" i="6"/>
  <c r="T8" i="6"/>
  <c r="M9" i="6"/>
  <c r="M10" i="6"/>
  <c r="M11" i="6"/>
  <c r="M12" i="6"/>
  <c r="M13" i="6"/>
  <c r="M14" i="6"/>
  <c r="M15" i="6"/>
  <c r="M16" i="6"/>
  <c r="M17" i="6"/>
  <c r="M18" i="6"/>
  <c r="M19" i="6"/>
  <c r="M8" i="6"/>
  <c r="R9" i="6"/>
  <c r="R10" i="6"/>
  <c r="R11" i="6"/>
  <c r="R12" i="6"/>
  <c r="R13" i="6"/>
  <c r="R14" i="6"/>
  <c r="R15" i="6"/>
  <c r="R16" i="6"/>
  <c r="R17" i="6"/>
  <c r="R18" i="6"/>
  <c r="R19" i="6"/>
  <c r="R8" i="6"/>
  <c r="G3" i="6"/>
  <c r="F3" i="42"/>
  <c r="E3" i="42"/>
  <c r="D3" i="42"/>
  <c r="M20" i="6" l="1"/>
  <c r="K3" i="11" l="1"/>
  <c r="H9" i="6"/>
  <c r="H10" i="6"/>
  <c r="H11" i="6"/>
  <c r="H12" i="6"/>
  <c r="H13" i="6"/>
  <c r="H14" i="6"/>
  <c r="H15" i="6"/>
  <c r="H16" i="6"/>
  <c r="H17" i="6"/>
  <c r="H18" i="6"/>
  <c r="H19" i="6"/>
  <c r="H8" i="6"/>
  <c r="N20" i="6"/>
  <c r="O20" i="6"/>
  <c r="P20" i="6"/>
  <c r="Q20" i="6"/>
  <c r="E10" i="43"/>
  <c r="D10" i="43"/>
  <c r="C10" i="43"/>
  <c r="E9" i="43"/>
  <c r="D9" i="43"/>
  <c r="C9" i="43"/>
  <c r="E8" i="43"/>
  <c r="D8" i="43"/>
  <c r="C8" i="43"/>
  <c r="G19" i="42"/>
  <c r="F13" i="42"/>
  <c r="E13" i="42"/>
  <c r="E18" i="42" s="1"/>
  <c r="D13" i="42"/>
  <c r="F11" i="42"/>
  <c r="E11" i="42"/>
  <c r="D11" i="42"/>
  <c r="G10" i="42"/>
  <c r="F8" i="42"/>
  <c r="E8" i="42"/>
  <c r="E14" i="42" s="1"/>
  <c r="D12" i="43" s="1"/>
  <c r="D8" i="42"/>
  <c r="G7" i="42"/>
  <c r="G5" i="42"/>
  <c r="F10" i="43" s="1"/>
  <c r="G4" i="42"/>
  <c r="F9" i="43" s="1"/>
  <c r="G3" i="42"/>
  <c r="F8" i="43" s="1"/>
  <c r="S20" i="6"/>
  <c r="G5" i="6" s="1"/>
  <c r="L20" i="6"/>
  <c r="K20" i="6"/>
  <c r="J20" i="6"/>
  <c r="I20" i="6"/>
  <c r="D14" i="42" l="1"/>
  <c r="C12" i="43" s="1"/>
  <c r="F14" i="42"/>
  <c r="E12" i="43" s="1"/>
  <c r="F17" i="42"/>
  <c r="F18" i="42"/>
  <c r="D17" i="42"/>
  <c r="D18" i="42"/>
  <c r="E6" i="42"/>
  <c r="F6" i="42"/>
  <c r="D6" i="42"/>
  <c r="D14" i="16"/>
  <c r="D17" i="16" s="1"/>
  <c r="H14" i="16"/>
  <c r="H17" i="16" s="1"/>
  <c r="F14" i="16"/>
  <c r="F17" i="16" s="1"/>
  <c r="G11" i="42"/>
  <c r="G13" i="42"/>
  <c r="F11" i="43" s="1"/>
  <c r="E17" i="42"/>
  <c r="D11" i="43"/>
  <c r="E11" i="43"/>
  <c r="G8" i="42"/>
  <c r="C11" i="43"/>
  <c r="R20" i="6"/>
  <c r="N15" i="11" l="1"/>
  <c r="N43" i="11"/>
  <c r="N33" i="11"/>
  <c r="N32" i="11"/>
  <c r="N37" i="11"/>
  <c r="N40" i="11"/>
  <c r="N42" i="11"/>
  <c r="N26" i="11"/>
  <c r="N44" i="11"/>
  <c r="N31" i="11"/>
  <c r="N34" i="11"/>
  <c r="N35" i="11"/>
  <c r="N36" i="11"/>
  <c r="N38" i="11"/>
  <c r="N39" i="11"/>
  <c r="N41" i="11"/>
  <c r="N25" i="11"/>
  <c r="N27" i="11"/>
  <c r="N28" i="11"/>
  <c r="N29" i="11"/>
  <c r="N30" i="11"/>
  <c r="G14" i="42"/>
  <c r="F12" i="43" s="1"/>
  <c r="F9" i="42"/>
  <c r="F12" i="42"/>
  <c r="D9" i="42"/>
  <c r="D12" i="42"/>
  <c r="E9" i="42"/>
  <c r="E12" i="42"/>
  <c r="G18" i="42"/>
  <c r="N13" i="11"/>
  <c r="N16" i="11"/>
  <c r="N50" i="11"/>
  <c r="N17" i="11"/>
  <c r="N51" i="11"/>
  <c r="N54" i="11"/>
  <c r="N14" i="11"/>
  <c r="N22" i="11"/>
  <c r="N12" i="11"/>
  <c r="J3" i="11" s="1"/>
  <c r="N7" i="11"/>
  <c r="N8" i="11"/>
  <c r="N5" i="11"/>
  <c r="D3" i="11" s="1"/>
  <c r="N24" i="11"/>
  <c r="N45" i="11"/>
  <c r="N53" i="11"/>
  <c r="N21" i="11"/>
  <c r="N23" i="11"/>
  <c r="N46" i="11"/>
  <c r="N47" i="11"/>
  <c r="N52" i="11"/>
  <c r="N48" i="11"/>
  <c r="N49" i="11"/>
  <c r="N18" i="11"/>
  <c r="N9" i="11"/>
  <c r="G3" i="11" s="1"/>
  <c r="N19" i="11"/>
  <c r="N10" i="11"/>
  <c r="H3" i="11" s="1"/>
  <c r="N20" i="11"/>
  <c r="N11" i="11"/>
  <c r="I3" i="11" s="1"/>
  <c r="N6" i="11"/>
  <c r="F5" i="6"/>
  <c r="D5" i="6"/>
  <c r="E5" i="6"/>
  <c r="C5" i="6"/>
  <c r="F3" i="11" l="1"/>
  <c r="E3" i="11"/>
  <c r="G12" i="42"/>
  <c r="E15" i="42"/>
  <c r="E23" i="42" s="1"/>
  <c r="G9" i="42"/>
  <c r="D15" i="42"/>
  <c r="D23" i="42" s="1"/>
  <c r="F15" i="42"/>
  <c r="F23" i="42" s="1"/>
  <c r="L3" i="11" l="1"/>
  <c r="M3" i="11" s="1"/>
  <c r="F16" i="42"/>
  <c r="E13" i="43"/>
  <c r="D16" i="42"/>
  <c r="G15" i="42"/>
  <c r="F13" i="43" s="1"/>
  <c r="C13" i="43"/>
  <c r="D13" i="43"/>
  <c r="E16" i="42"/>
</calcChain>
</file>

<file path=xl/sharedStrings.xml><?xml version="1.0" encoding="utf-8"?>
<sst xmlns="http://schemas.openxmlformats.org/spreadsheetml/2006/main" count="458" uniqueCount="319">
  <si>
    <r>
      <t>2月</t>
    </r>
    <r>
      <rPr>
        <sz val="12"/>
        <color theme="1"/>
        <rFont val="Microsoft JhengHei"/>
        <family val="2"/>
      </rPr>
      <t/>
    </r>
  </si>
  <si>
    <r>
      <t>3月</t>
    </r>
    <r>
      <rPr>
        <sz val="12"/>
        <color theme="1"/>
        <rFont val="Microsoft JhengHei"/>
        <family val="2"/>
      </rPr>
      <t/>
    </r>
  </si>
  <si>
    <r>
      <t>4月</t>
    </r>
    <r>
      <rPr>
        <sz val="12"/>
        <color theme="1"/>
        <rFont val="Microsoft JhengHei"/>
        <family val="2"/>
      </rPr>
      <t/>
    </r>
  </si>
  <si>
    <r>
      <t>5月</t>
    </r>
    <r>
      <rPr>
        <sz val="12"/>
        <color theme="1"/>
        <rFont val="Microsoft JhengHei"/>
        <family val="2"/>
      </rPr>
      <t/>
    </r>
  </si>
  <si>
    <r>
      <t>6月</t>
    </r>
    <r>
      <rPr>
        <sz val="12"/>
        <color theme="1"/>
        <rFont val="Microsoft JhengHei"/>
        <family val="2"/>
      </rPr>
      <t/>
    </r>
  </si>
  <si>
    <r>
      <t>7月</t>
    </r>
    <r>
      <rPr>
        <sz val="12"/>
        <color theme="1"/>
        <rFont val="Microsoft JhengHei"/>
        <family val="2"/>
      </rPr>
      <t/>
    </r>
  </si>
  <si>
    <r>
      <t>8月</t>
    </r>
    <r>
      <rPr>
        <sz val="12"/>
        <color theme="1"/>
        <rFont val="Microsoft JhengHei"/>
        <family val="2"/>
      </rPr>
      <t/>
    </r>
  </si>
  <si>
    <r>
      <t>9月</t>
    </r>
    <r>
      <rPr>
        <sz val="12"/>
        <color theme="1"/>
        <rFont val="Microsoft JhengHei"/>
        <family val="2"/>
      </rPr>
      <t/>
    </r>
  </si>
  <si>
    <r>
      <t>10月</t>
    </r>
    <r>
      <rPr>
        <sz val="12"/>
        <color theme="1"/>
        <rFont val="Microsoft JhengHei"/>
        <family val="2"/>
      </rPr>
      <t/>
    </r>
  </si>
  <si>
    <r>
      <t>11月</t>
    </r>
    <r>
      <rPr>
        <sz val="12"/>
        <color theme="1"/>
        <rFont val="Microsoft JhengHei"/>
        <family val="2"/>
      </rPr>
      <t/>
    </r>
  </si>
  <si>
    <r>
      <t>12月</t>
    </r>
    <r>
      <rPr>
        <sz val="12"/>
        <color theme="1"/>
        <rFont val="Microsoft JhengHei"/>
        <family val="2"/>
      </rPr>
      <t/>
    </r>
  </si>
  <si>
    <t>合計</t>
    <phoneticPr fontId="1" type="noConversion"/>
  </si>
  <si>
    <t>-</t>
    <phoneticPr fontId="1" type="noConversion"/>
  </si>
  <si>
    <t>項次</t>
    <phoneticPr fontId="1" type="noConversion"/>
  </si>
  <si>
    <t>效益指標</t>
    <phoneticPr fontId="1" type="noConversion"/>
  </si>
  <si>
    <t>計算結果</t>
    <phoneticPr fontId="1" type="noConversion"/>
  </si>
  <si>
    <t>其他</t>
    <phoneticPr fontId="1" type="noConversion"/>
  </si>
  <si>
    <t>中央空調系統</t>
  </si>
  <si>
    <t>一般空調系統</t>
  </si>
  <si>
    <t>照明系統</t>
  </si>
  <si>
    <t>冷凍冷藏系統</t>
  </si>
  <si>
    <t>熱能系統</t>
  </si>
  <si>
    <t>措施說明</t>
  </si>
  <si>
    <t>增加控制</t>
    <phoneticPr fontId="1" type="noConversion"/>
  </si>
  <si>
    <t>加裝變頻</t>
    <phoneticPr fontId="1" type="noConversion"/>
  </si>
  <si>
    <t>操作行為</t>
    <phoneticPr fontId="1" type="noConversion"/>
  </si>
  <si>
    <t>汰換設備</t>
    <phoneticPr fontId="1" type="noConversion"/>
  </si>
  <si>
    <t>改善措施</t>
  </si>
  <si>
    <r>
      <t>措施</t>
    </r>
    <r>
      <rPr>
        <b/>
        <sz val="12"/>
        <color theme="1"/>
        <rFont val="Times New Roman"/>
        <family val="1"/>
      </rPr>
      <t>1</t>
    </r>
  </si>
  <si>
    <r>
      <t>措施</t>
    </r>
    <r>
      <rPr>
        <b/>
        <sz val="12"/>
        <color theme="1"/>
        <rFont val="Times New Roman"/>
        <family val="1"/>
      </rPr>
      <t>2</t>
    </r>
  </si>
  <si>
    <r>
      <t>措施</t>
    </r>
    <r>
      <rPr>
        <b/>
        <sz val="12"/>
        <color theme="1"/>
        <rFont val="Times New Roman"/>
        <family val="1"/>
      </rPr>
      <t>3</t>
    </r>
  </si>
  <si>
    <t>合計</t>
  </si>
  <si>
    <t>系統類別</t>
  </si>
  <si>
    <r>
      <t>節約用電量</t>
    </r>
    <r>
      <rPr>
        <sz val="12"/>
        <color theme="1"/>
        <rFont val="Times New Roman"/>
        <family val="1"/>
      </rPr>
      <t>(kWh/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)</t>
    </r>
  </si>
  <si>
    <r>
      <t>節約油當量</t>
    </r>
    <r>
      <rPr>
        <sz val="12"/>
        <color theme="1"/>
        <rFont val="Times New Roman"/>
        <family val="1"/>
      </rPr>
      <t>(kLOE/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)</t>
    </r>
  </si>
  <si>
    <r>
      <t>節約金額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元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年</t>
    </r>
    <r>
      <rPr>
        <sz val="12"/>
        <color theme="1"/>
        <rFont val="Times New Roman"/>
        <family val="1"/>
      </rPr>
      <t>)</t>
    </r>
  </si>
  <si>
    <t>實際落實</t>
  </si>
  <si>
    <t>落實情形</t>
  </si>
  <si>
    <t>措施類別</t>
    <phoneticPr fontId="1" type="noConversion"/>
  </si>
  <si>
    <t>項目</t>
    <phoneticPr fontId="1" type="noConversion"/>
  </si>
  <si>
    <t>內容</t>
    <phoneticPr fontId="1" type="noConversion"/>
  </si>
  <si>
    <t>**若欄位不足，請自行向右新增欄位填寫。</t>
    <phoneticPr fontId="1" type="noConversion"/>
  </si>
  <si>
    <t>戶名</t>
    <phoneticPr fontId="1" type="noConversion"/>
  </si>
  <si>
    <t>收費
月份</t>
    <phoneticPr fontId="1" type="noConversion"/>
  </si>
  <si>
    <t>尖峰</t>
    <phoneticPr fontId="1" type="noConversion"/>
  </si>
  <si>
    <t>半尖峰</t>
    <phoneticPr fontId="1" type="noConversion"/>
  </si>
  <si>
    <t>週六半尖峰</t>
    <phoneticPr fontId="1" type="noConversion"/>
  </si>
  <si>
    <t>離峰</t>
    <phoneticPr fontId="1" type="noConversion"/>
  </si>
  <si>
    <t>1月</t>
    <phoneticPr fontId="1" type="noConversion"/>
  </si>
  <si>
    <t>**若欄位不足，請自行向下新增欄位填寫。</t>
    <phoneticPr fontId="1" type="noConversion"/>
  </si>
  <si>
    <t>推估年用電量
(kWh)</t>
    <phoneticPr fontId="1" type="noConversion"/>
  </si>
  <si>
    <t>月份</t>
    <phoneticPr fontId="1" type="noConversion"/>
  </si>
  <si>
    <t>回收年限 ( 年 )</t>
    <phoneticPr fontId="1" type="noConversion"/>
  </si>
  <si>
    <t>措施1</t>
  </si>
  <si>
    <t>措施2</t>
  </si>
  <si>
    <t>措施3</t>
  </si>
  <si>
    <t>能源單價(元/kWh)</t>
  </si>
  <si>
    <t>改善前用電量(kWh/年)</t>
  </si>
  <si>
    <t>改善前油當量(kLOE/年)</t>
  </si>
  <si>
    <t>改善前金額(元/年)</t>
  </si>
  <si>
    <t>改善後用電量(kWh/年)</t>
  </si>
  <si>
    <t>改善後油當量(kLOE/年)</t>
  </si>
  <si>
    <t>改善後金額(元/年)</t>
  </si>
  <si>
    <t>節約用電量(kWh/年)</t>
  </si>
  <si>
    <t>節約油當量(kLOE/年)</t>
  </si>
  <si>
    <t>節約金額(元/年)</t>
  </si>
  <si>
    <t>節費率(金額基準)</t>
    <phoneticPr fontId="1" type="noConversion"/>
  </si>
  <si>
    <t>節能率(耗能基準)</t>
    <phoneticPr fontId="1" type="noConversion"/>
  </si>
  <si>
    <t>改善費用(萬元)</t>
    <phoneticPr fontId="1" type="noConversion"/>
  </si>
  <si>
    <t>業者自行改善</t>
    <phoneticPr fontId="1" type="noConversion"/>
  </si>
  <si>
    <t>媒合ESCO</t>
    <phoneticPr fontId="1" type="noConversion"/>
  </si>
  <si>
    <t>媒合政府資源</t>
    <phoneticPr fontId="1" type="noConversion"/>
  </si>
  <si>
    <t>回收年限（年）</t>
  </si>
  <si>
    <t>二、單位地址：○○○○○○○○</t>
  </si>
  <si>
    <t>三、追蹤日期：中華民國○○○年○○月○○日</t>
  </si>
  <si>
    <t>一、單位名稱：○○○○○○○○</t>
    <phoneticPr fontId="1" type="noConversion"/>
  </si>
  <si>
    <t>潛在效益</t>
    <phoneticPr fontId="1" type="noConversion"/>
  </si>
  <si>
    <t>□完全落實
□部分落實
□尚未落實</t>
    <phoneticPr fontId="1" type="noConversion"/>
  </si>
  <si>
    <t>汰換既有設備</t>
    <phoneticPr fontId="1" type="noConversion"/>
  </si>
  <si>
    <t>增加自動控制</t>
    <phoneticPr fontId="1" type="noConversion"/>
  </si>
  <si>
    <t>增加變頻功能</t>
    <phoneticPr fontId="1" type="noConversion"/>
  </si>
  <si>
    <t>管理行為改善</t>
    <phoneticPr fontId="1" type="noConversion"/>
  </si>
  <si>
    <t>受訪單位</t>
    <phoneticPr fontId="1" type="noConversion"/>
  </si>
  <si>
    <t>診斷顧問</t>
    <phoneticPr fontId="1" type="noConversion"/>
  </si>
  <si>
    <t>顧問手機</t>
    <phoneticPr fontId="1" type="noConversion"/>
  </si>
  <si>
    <t>風機系統</t>
  </si>
  <si>
    <t>縣市</t>
    <phoneticPr fontId="1" type="noConversion"/>
  </si>
  <si>
    <t>分區</t>
    <phoneticPr fontId="1" type="noConversion"/>
  </si>
  <si>
    <t>路/街</t>
    <phoneticPr fontId="1" type="noConversion"/>
  </si>
  <si>
    <t>段</t>
    <phoneticPr fontId="1" type="noConversion"/>
  </si>
  <si>
    <t>巷</t>
    <phoneticPr fontId="1" type="noConversion"/>
  </si>
  <si>
    <t>弄</t>
    <phoneticPr fontId="1" type="noConversion"/>
  </si>
  <si>
    <t>號</t>
    <phoneticPr fontId="1" type="noConversion"/>
  </si>
  <si>
    <t>樓</t>
    <phoneticPr fontId="1" type="noConversion"/>
  </si>
  <si>
    <t>之</t>
    <phoneticPr fontId="1" type="noConversion"/>
  </si>
  <si>
    <t>室</t>
    <phoneticPr fontId="1" type="noConversion"/>
  </si>
  <si>
    <r>
      <t>受訪對象識別資料（名片或照片）</t>
    </r>
    <r>
      <rPr>
        <b/>
        <sz val="8"/>
        <color rgb="FFFF0000"/>
        <rFont val="微軟正黑體"/>
        <family val="2"/>
        <charset val="136"/>
      </rPr>
      <t>註</t>
    </r>
    <phoneticPr fontId="1" type="noConversion"/>
  </si>
  <si>
    <t>用電度數</t>
    <phoneticPr fontId="1" type="noConversion"/>
  </si>
  <si>
    <t>轉供度數 ( kWh-度 )</t>
    <phoneticPr fontId="1" type="noConversion"/>
  </si>
  <si>
    <t>基本資料</t>
    <phoneticPr fontId="1" type="noConversion"/>
  </si>
  <si>
    <t>平均電單價</t>
    <phoneticPr fontId="1" type="noConversion"/>
  </si>
  <si>
    <r>
      <rPr>
        <sz val="10"/>
        <color rgb="FFFF0000"/>
        <rFont val="微軟正黑體"/>
        <family val="2"/>
        <charset val="136"/>
      </rPr>
      <t>提醒事項</t>
    </r>
    <r>
      <rPr>
        <sz val="10"/>
        <color theme="1"/>
        <rFont val="微軟正黑體"/>
        <family val="2"/>
        <charset val="136"/>
      </rPr>
      <t>：建議此表填寫之設備年用電占比合計應超過電費單全年總用電量之 60 %，故設備數量如不夠填表，請自行新增填報列</t>
    </r>
    <phoneticPr fontId="1" type="noConversion"/>
  </si>
  <si>
    <t>能源流向統計</t>
    <phoneticPr fontId="1" type="noConversion"/>
  </si>
  <si>
    <t>中央空調</t>
    <phoneticPr fontId="1" type="noConversion"/>
  </si>
  <si>
    <t>一般空調</t>
    <phoneticPr fontId="1" type="noConversion"/>
  </si>
  <si>
    <t>冷凍冷藏</t>
    <phoneticPr fontId="1" type="noConversion"/>
  </si>
  <si>
    <t>熱能</t>
    <phoneticPr fontId="1" type="noConversion"/>
  </si>
  <si>
    <t>風機</t>
    <phoneticPr fontId="1" type="noConversion"/>
  </si>
  <si>
    <t>電能</t>
    <phoneticPr fontId="1" type="noConversion"/>
  </si>
  <si>
    <t>盤查結果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</si>
  <si>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</si>
  <si>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</si>
  <si>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</si>
  <si>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</si>
  <si>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</si>
  <si>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</si>
  <si>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</si>
  <si>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</si>
  <si>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</si>
  <si>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</si>
  <si>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</si>
  <si>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開機日數</t>
    <phoneticPr fontId="1" type="noConversion"/>
  </si>
  <si>
    <t>開機時數</t>
    <phoneticPr fontId="1" type="noConversion"/>
  </si>
  <si>
    <t>小計</t>
    <phoneticPr fontId="1" type="noConversion"/>
  </si>
  <si>
    <t>燈具種類</t>
    <phoneticPr fontId="1" type="noConversion"/>
  </si>
  <si>
    <t>盞數</t>
    <phoneticPr fontId="1" type="noConversion"/>
  </si>
  <si>
    <t>表H-2｜熱能系統-鍋爐系統_診斷問卷</t>
    <phoneticPr fontId="1" type="noConversion"/>
  </si>
  <si>
    <t>表H-1｜熱能系統-熱泵系統_診斷問卷</t>
    <phoneticPr fontId="1" type="noConversion"/>
  </si>
  <si>
    <t>表B-1｜風機系統-(地下)停車場_診斷問卷</t>
    <phoneticPr fontId="1" type="noConversion"/>
  </si>
  <si>
    <t>環境體感指標</t>
    <phoneticPr fontId="1" type="noConversion"/>
  </si>
  <si>
    <t>控制策略
與運轉模式</t>
    <phoneticPr fontId="1" type="noConversion"/>
  </si>
  <si>
    <t>表B-2｜風機系統-屋頂_診斷問卷</t>
    <phoneticPr fontId="1" type="noConversion"/>
  </si>
  <si>
    <t>機械健康與維護</t>
    <phoneticPr fontId="1" type="noConversion"/>
  </si>
  <si>
    <t>運轉必要性
與熱負載</t>
    <phoneticPr fontId="1" type="noConversion"/>
  </si>
  <si>
    <t>功因改善進相電容器評估</t>
    <phoneticPr fontId="1" type="noConversion"/>
  </si>
  <si>
    <t>變壓器評估</t>
    <phoneticPr fontId="1" type="noConversion"/>
  </si>
  <si>
    <t>改善效益</t>
    <phoneticPr fontId="1" type="noConversion"/>
  </si>
  <si>
    <t>年節電量
 ( kWh )</t>
    <phoneticPr fontId="1" type="noConversion"/>
  </si>
  <si>
    <t>年節電費
 ( 萬元 )</t>
    <phoneticPr fontId="1" type="noConversion"/>
  </si>
  <si>
    <t>年節電率
 ( % )</t>
    <phoneticPr fontId="1" type="noConversion"/>
  </si>
  <si>
    <t>計算過程說明</t>
    <phoneticPr fontId="1" type="noConversion"/>
  </si>
  <si>
    <t>改善前用電量-改善後用電量</t>
    <phoneticPr fontId="1" type="noConversion"/>
  </si>
  <si>
    <t>年節電量 X 平均電價</t>
    <phoneticPr fontId="1" type="noConversion"/>
  </si>
  <si>
    <t>年節電量 X 電力排碳係數</t>
    <phoneticPr fontId="1" type="noConversion"/>
  </si>
  <si>
    <t>措施編號</t>
    <phoneticPr fontId="1" type="noConversion"/>
  </si>
  <si>
    <t>年節電量 / 改善前用電量</t>
    <phoneticPr fontId="1" type="noConversion"/>
  </si>
  <si>
    <t>改善措施總價 / 年節電費</t>
    <phoneticPr fontId="1" type="noConversion"/>
  </si>
  <si>
    <t>表T｜成效彙總表</t>
    <phoneticPr fontId="1" type="noConversion"/>
  </si>
  <si>
    <t>表E｜能源設備盤查</t>
    <phoneticPr fontId="1" type="noConversion"/>
  </si>
  <si>
    <t>自動帶出</t>
    <phoneticPr fontId="1" type="noConversion"/>
  </si>
  <si>
    <t>表Z-1｜用戶基本資料</t>
    <phoneticPr fontId="1" type="noConversion"/>
  </si>
  <si>
    <t>回目錄頁 ↩</t>
    <phoneticPr fontId="1" type="noConversion"/>
  </si>
  <si>
    <t>預設選單欄位設定 ➠</t>
    <phoneticPr fontId="1" type="noConversion"/>
  </si>
  <si>
    <t>區</t>
    <phoneticPr fontId="1" type="noConversion"/>
  </si>
  <si>
    <t>填寫文字或數字</t>
    <phoneticPr fontId="1" type="noConversion"/>
  </si>
  <si>
    <t>用電佔比</t>
    <phoneticPr fontId="1" type="noConversion"/>
  </si>
  <si>
    <t>時段</t>
    <phoneticPr fontId="1" type="noConversion"/>
  </si>
  <si>
    <t>最高需量</t>
    <phoneticPr fontId="1" type="noConversion"/>
  </si>
  <si>
    <t>建議調整後契約容量</t>
    <phoneticPr fontId="1" type="noConversion"/>
  </si>
  <si>
    <t>表P｜用電統計及管理程度調查</t>
    <phoneticPr fontId="1" type="noConversion"/>
  </si>
  <si>
    <t>下拉式選單（勿調整）</t>
    <phoneticPr fontId="1" type="noConversion"/>
  </si>
  <si>
    <t>表L｜照明系統_診斷問卷表</t>
    <phoneticPr fontId="1" type="noConversion"/>
  </si>
  <si>
    <t>功率(W)</t>
    <phoneticPr fontId="1" type="noConversion"/>
  </si>
  <si>
    <t>感受亮度</t>
    <phoneticPr fontId="1" type="noConversion"/>
  </si>
  <si>
    <r>
      <rPr>
        <b/>
        <sz val="10"/>
        <color rgb="FFFF0000"/>
        <rFont val="微軟正黑體"/>
        <family val="2"/>
        <charset val="136"/>
      </rPr>
      <t>註1</t>
    </r>
    <r>
      <rPr>
        <sz val="10"/>
        <color theme="1"/>
        <rFont val="微軟正黑體"/>
        <family val="2"/>
        <charset val="136"/>
      </rPr>
      <t>：目前的風機開關是如何控制的？
智慧連動：依CO濃度自動變頻/啟停
定時控制：依上下班尖峰時間設定開關
人工/全時：24小時全開或靠管理員手動</t>
    </r>
    <phoneticPr fontId="1" type="noConversion"/>
  </si>
  <si>
    <r>
      <rPr>
        <b/>
        <sz val="10"/>
        <color rgb="FFFF0000"/>
        <rFont val="微軟正黑體"/>
        <family val="2"/>
        <charset val="136"/>
      </rPr>
      <t>註2</t>
    </r>
    <r>
      <rPr>
        <sz val="10"/>
        <color theme="1"/>
        <rFont val="微軟正黑體"/>
        <family val="2"/>
        <charset val="136"/>
      </rPr>
      <t>：是否裝設一氧化碳 (CO) 偵測器？其運作狀況為何？
精準連動：有裝設，且定期校正，數值準確
有裝但無效：有裝設，但數值僅供參考，未連動風機
無裝設：完全憑感覺運轉</t>
    </r>
    <phoneticPr fontId="1" type="noConversion"/>
  </si>
  <si>
    <r>
      <rPr>
        <b/>
        <sz val="10"/>
        <color rgb="FFFF0000"/>
        <rFont val="微軟正黑體"/>
        <family val="2"/>
        <charset val="136"/>
      </rPr>
      <t>註3</t>
    </r>
    <r>
      <rPr>
        <sz val="10"/>
        <color theme="1"/>
        <rFont val="微軟正黑體"/>
        <family val="2"/>
        <charset val="136"/>
      </rPr>
      <t>：風機是否能針對「局部高污染區」(如車道出口) 獨立運作？
分區獨立：僅開啟污染區風機
全場連動：一處超標全場啟動</t>
    </r>
    <phoneticPr fontId="1" type="noConversion"/>
  </si>
  <si>
    <r>
      <rPr>
        <b/>
        <sz val="10"/>
        <color rgb="FFFF0000"/>
        <rFont val="微軟正黑體"/>
        <family val="2"/>
        <charset val="136"/>
      </rPr>
      <t>註4</t>
    </r>
    <r>
      <rPr>
        <sz val="10"/>
        <color theme="1"/>
        <rFont val="微軟正黑體"/>
        <family val="2"/>
        <charset val="136"/>
      </rPr>
      <t>：在尖峰時刻，停車場內的廢氣味道濃度？
清新：幾乎聞不到廢氣味（可能換氣過度）
普通：偶爾有味道
嗆鼻：明顯刺鼻，令人不適（換氣不足）</t>
    </r>
    <phoneticPr fontId="1" type="noConversion"/>
  </si>
  <si>
    <r>
      <rPr>
        <b/>
        <sz val="10"/>
        <color rgb="FFFF0000"/>
        <rFont val="微軟正黑體"/>
        <family val="2"/>
        <charset val="136"/>
      </rPr>
      <t>註5</t>
    </r>
    <r>
      <rPr>
        <sz val="10"/>
        <color theme="1"/>
        <rFont val="微軟正黑體"/>
        <family val="2"/>
        <charset val="136"/>
      </rPr>
      <t>：進入停車場時的溫濕度感受與戶外對比？
舒適：涼爽通風
悶熱：停滯感強，空氣不流通</t>
    </r>
    <phoneticPr fontId="1" type="noConversion"/>
  </si>
  <si>
    <r>
      <rPr>
        <b/>
        <sz val="10"/>
        <color rgb="FFFF0000"/>
        <rFont val="微軟正黑體"/>
        <family val="2"/>
        <charset val="136"/>
      </rPr>
      <t>註6</t>
    </r>
    <r>
      <rPr>
        <sz val="10"/>
        <color theme="1"/>
        <rFont val="微軟正黑體"/>
        <family val="2"/>
        <charset val="136"/>
      </rPr>
      <t>：風機運轉時的噪音是否影響交談或造成不適？
安靜：背景音低
一般：可接受
吵雜：需提高音量說話，有明顯轟鳴聲</t>
    </r>
    <phoneticPr fontId="1" type="noConversion"/>
  </si>
  <si>
    <t>表PF｜電能系統_診斷問卷</t>
    <phoneticPr fontId="1" type="noConversion"/>
  </si>
  <si>
    <t>電容器評估
(無則免填)</t>
    <phoneticPr fontId="1" type="noConversion"/>
  </si>
  <si>
    <t>表S-1｜節能措施</t>
    <phoneticPr fontId="1" type="noConversion"/>
  </si>
  <si>
    <r>
      <t>年減碳量
( t-CO</t>
    </r>
    <r>
      <rPr>
        <b/>
        <vertAlign val="subscript"/>
        <sz val="12"/>
        <rFont val="微軟正黑體"/>
        <family val="2"/>
        <charset val="136"/>
      </rPr>
      <t>2e</t>
    </r>
    <r>
      <rPr>
        <b/>
        <sz val="12"/>
        <rFont val="微軟正黑體"/>
        <family val="2"/>
        <charset val="136"/>
      </rPr>
      <t xml:space="preserve"> )</t>
    </r>
    <phoneticPr fontId="1" type="noConversion"/>
  </si>
  <si>
    <r>
      <t xml:space="preserve">後續
推動
</t>
    </r>
    <r>
      <rPr>
        <b/>
        <sz val="9"/>
        <rFont val="微軟正黑體"/>
        <family val="2"/>
        <charset val="136"/>
      </rPr>
      <t>註3</t>
    </r>
    <phoneticPr fontId="1" type="noConversion"/>
  </si>
  <si>
    <r>
      <t>CO</t>
    </r>
    <r>
      <rPr>
        <b/>
        <vertAlign val="subscript"/>
        <sz val="12"/>
        <rFont val="微軟正黑體"/>
        <family val="2"/>
        <charset val="136"/>
      </rPr>
      <t xml:space="preserve">2 </t>
    </r>
    <r>
      <rPr>
        <b/>
        <sz val="12"/>
        <rFont val="微軟正黑體"/>
        <family val="2"/>
        <charset val="136"/>
      </rPr>
      <t>減量(噸/年)</t>
    </r>
    <phoneticPr fontId="1" type="noConversion"/>
  </si>
  <si>
    <t>其他資訊</t>
    <phoneticPr fontId="1" type="noConversion"/>
  </si>
  <si>
    <t>年度用水量(度)</t>
    <phoneticPr fontId="1" type="noConversion"/>
  </si>
  <si>
    <t>年度用水金額(元)</t>
    <phoneticPr fontId="1" type="noConversion"/>
  </si>
  <si>
    <t>使用燃料金額(元)</t>
    <phoneticPr fontId="1" type="noConversion"/>
  </si>
  <si>
    <r>
      <t>使用燃料用量
(公斤/公升/m</t>
    </r>
    <r>
      <rPr>
        <b/>
        <vertAlign val="superscript"/>
        <sz val="12"/>
        <color theme="1"/>
        <rFont val="微軟正黑體"/>
        <family val="2"/>
        <charset val="136"/>
      </rPr>
      <t>3</t>
    </r>
    <r>
      <rPr>
        <b/>
        <sz val="12"/>
        <color theme="1"/>
        <rFont val="微軟正黑體"/>
        <family val="2"/>
        <charset val="136"/>
      </rPr>
      <t>)</t>
    </r>
    <phoneticPr fontId="1" type="noConversion"/>
  </si>
  <si>
    <t>使用燃料種類</t>
    <phoneticPr fontId="1" type="noConversion"/>
  </si>
  <si>
    <t>聯絡人手機</t>
    <phoneticPr fontId="1" type="noConversion"/>
  </si>
  <si>
    <t>分店名稱</t>
    <phoneticPr fontId="1" type="noConversion"/>
  </si>
  <si>
    <r>
      <t>用戶抬頭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</si>
  <si>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用戶統編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</si>
  <si>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行業別大類（依稅籍）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</si>
  <si>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行業別中類（依稅籍）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</si>
  <si>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母公司統編</t>
    </r>
    <r>
      <rPr>
        <b/>
        <sz val="12"/>
        <color rgb="FF00B050"/>
        <rFont val="微軟正黑體"/>
        <family val="2"/>
        <charset val="136"/>
      </rPr>
      <t>註1</t>
    </r>
    <phoneticPr fontId="1" type="noConversion"/>
  </si>
  <si>
    <r>
      <t>建築物地址</t>
    </r>
    <r>
      <rPr>
        <b/>
        <sz val="12"/>
        <color rgb="FF00B050"/>
        <rFont val="微軟正黑體"/>
        <family val="2"/>
        <charset val="136"/>
      </rPr>
      <t>註2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</si>
  <si>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是否為分支機構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</si>
  <si>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聯絡人姓名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</si>
  <si>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聯絡人信箱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</si>
  <si>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聯絡人電話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</si>
  <si>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單位名稱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</si>
  <si>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顧問姓名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</si>
  <si>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顧問信箱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</si>
  <si>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顧問電話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</si>
  <si>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註1</t>
    </r>
    <r>
      <rPr>
        <sz val="10"/>
        <color theme="1"/>
        <rFont val="微軟正黑體"/>
        <family val="2"/>
        <charset val="136"/>
      </rPr>
      <t>：若非分支機構，可免填母公司統編。</t>
    </r>
    <phoneticPr fontId="1" type="noConversion"/>
  </si>
  <si>
    <r>
      <t>樓地板面積(m</t>
    </r>
    <r>
      <rPr>
        <b/>
        <vertAlign val="superscript"/>
        <sz val="12"/>
        <color theme="1"/>
        <rFont val="微軟正黑體"/>
        <family val="2"/>
        <charset val="136"/>
      </rPr>
      <t>2</t>
    </r>
    <r>
      <rPr>
        <b/>
        <sz val="12"/>
        <color theme="1"/>
        <rFont val="微軟正黑體"/>
        <family val="2"/>
        <charset val="136"/>
      </rPr>
      <t>)</t>
    </r>
    <phoneticPr fontId="1" type="noConversion"/>
  </si>
  <si>
    <r>
      <t>電價種類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</si>
  <si>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時間種類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</si>
  <si>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是否導入能源管理系統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</si>
  <si>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電號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</si>
  <si>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建議調整後契約容量(kW)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</si>
  <si>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預估可節省電費(元/年)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</si>
  <si>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經常契約容量</t>
    </r>
    <r>
      <rPr>
        <b/>
        <sz val="12"/>
        <color rgb="FFFF0000"/>
        <rFont val="微軟正黑體"/>
        <family val="2"/>
        <charset val="136"/>
      </rPr>
      <t>*</t>
    </r>
    <r>
      <rPr>
        <b/>
        <sz val="12"/>
        <color theme="1"/>
        <rFont val="微軟正黑體"/>
        <family val="2"/>
        <charset val="136"/>
      </rPr>
      <t xml:space="preserve">
(kW)</t>
    </r>
    <phoneticPr fontId="1" type="noConversion"/>
  </si>
  <si>
    <r>
      <t>需量(kW)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</si>
  <si>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計費度數 ( kWh-度 )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</si>
  <si>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總電費</t>
    </r>
    <r>
      <rPr>
        <b/>
        <sz val="12"/>
        <color rgb="FFFF0000"/>
        <rFont val="微軟正黑體"/>
        <family val="2"/>
        <charset val="136"/>
      </rPr>
      <t>*</t>
    </r>
    <r>
      <rPr>
        <b/>
        <sz val="12"/>
        <color theme="1"/>
        <rFont val="微軟正黑體"/>
        <family val="2"/>
        <charset val="136"/>
      </rPr>
      <t xml:space="preserve">
( 含稅-元 )</t>
    </r>
    <phoneticPr fontId="1" type="noConversion"/>
  </si>
  <si>
    <r>
      <t>設備名稱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</si>
  <si>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系統類別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</si>
  <si>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設備編號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</si>
  <si>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製造年份</t>
    </r>
    <r>
      <rPr>
        <b/>
        <sz val="12"/>
        <color rgb="FFFF0000"/>
        <rFont val="微軟正黑體"/>
        <family val="2"/>
        <charset val="136"/>
      </rPr>
      <t>*</t>
    </r>
    <r>
      <rPr>
        <b/>
        <sz val="12"/>
        <color theme="1"/>
        <rFont val="微軟正黑體"/>
        <family val="2"/>
        <charset val="136"/>
      </rPr>
      <t xml:space="preserve">
(西元年)</t>
    </r>
    <phoneticPr fontId="1" type="noConversion"/>
  </si>
  <si>
    <r>
      <t>設備容量</t>
    </r>
    <r>
      <rPr>
        <b/>
        <sz val="11"/>
        <color rgb="FF00B050"/>
        <rFont val="微軟正黑體"/>
        <family val="2"/>
        <charset val="136"/>
      </rPr>
      <t>註1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</si>
  <si>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規格單位</t>
    </r>
    <r>
      <rPr>
        <b/>
        <sz val="12"/>
        <color rgb="FF00B050"/>
        <rFont val="微軟正黑體"/>
        <family val="2"/>
        <charset val="136"/>
      </rPr>
      <t>註2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</si>
  <si>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額定功率</t>
    </r>
    <r>
      <rPr>
        <b/>
        <sz val="12"/>
        <color rgb="FFFF0000"/>
        <rFont val="微軟正黑體"/>
        <family val="2"/>
        <charset val="136"/>
      </rPr>
      <t>*</t>
    </r>
    <r>
      <rPr>
        <b/>
        <vertAlign val="subscript"/>
        <sz val="12"/>
        <color theme="1"/>
        <rFont val="微軟正黑體"/>
        <family val="2"/>
        <charset val="136"/>
      </rPr>
      <t xml:space="preserve">
</t>
    </r>
    <r>
      <rPr>
        <b/>
        <sz val="12"/>
        <color theme="1"/>
        <rFont val="微軟正黑體"/>
        <family val="2"/>
        <charset val="136"/>
      </rPr>
      <t>(kW)</t>
    </r>
    <phoneticPr fontId="1" type="noConversion"/>
  </si>
  <si>
    <r>
      <t>設備數量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</si>
  <si>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年運轉時數</t>
    </r>
    <r>
      <rPr>
        <b/>
        <sz val="12"/>
        <color rgb="FFFF0000"/>
        <rFont val="微軟正黑體"/>
        <family val="2"/>
        <charset val="136"/>
      </rPr>
      <t>*</t>
    </r>
    <r>
      <rPr>
        <b/>
        <sz val="12"/>
        <color theme="1"/>
        <rFont val="微軟正黑體"/>
        <family val="2"/>
        <charset val="136"/>
      </rPr>
      <t xml:space="preserve">
(hr)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</si>
  <si>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註1</t>
    </r>
    <r>
      <rPr>
        <sz val="10"/>
        <color theme="1"/>
        <rFont val="微軟正黑體"/>
        <family val="2"/>
        <charset val="136"/>
      </rPr>
      <t>：設備容量之單位可依據設備銘牌上標示的規格填寫，例如：冰水主機冷卻能力200RT，此欄填「200」。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</si>
  <si>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註2</t>
    </r>
    <r>
      <rPr>
        <sz val="10"/>
        <color theme="1"/>
        <rFont val="微軟正黑體"/>
        <family val="2"/>
        <charset val="136"/>
      </rPr>
      <t>：設備容量之單位可依據設備銘牌上標示的規格填寫，例如：冰水主機冷卻能力200RT，此欄填「RT」。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</si>
  <si>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註3</t>
    </r>
    <r>
      <rPr>
        <sz val="10"/>
        <color theme="1"/>
        <rFont val="微軟正黑體"/>
        <family val="2"/>
        <charset val="136"/>
      </rPr>
      <t>：耗電固定請填 100 (%)；耗電會變動請填實際平均負載率，無法判斷填 60 (%)</t>
    </r>
    <phoneticPr fontId="1" type="noConversion"/>
  </si>
  <si>
    <r>
      <t>運轉時間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</si>
  <si>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空間名稱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</si>
  <si>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照明空間用途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</si>
  <si>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照明空間控制模式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</si>
  <si>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照明空間種類組合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</si>
  <si>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空間LED燈具的比例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</si>
  <si>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燈具組合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</si>
  <si>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設備使用年限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</si>
  <si>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是否搭配儲熱</t>
    </r>
    <r>
      <rPr>
        <b/>
        <sz val="12"/>
        <color rgb="FF00B050"/>
        <rFont val="微軟正黑體"/>
        <family val="2"/>
        <charset val="136"/>
      </rPr>
      <t>註1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</si>
  <si>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是否常高溫跳停</t>
    </r>
    <r>
      <rPr>
        <b/>
        <sz val="12"/>
        <color rgb="FF00B050"/>
        <rFont val="微軟正黑體"/>
        <family val="2"/>
        <charset val="136"/>
      </rPr>
      <t>註2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</si>
  <si>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維護保養程度</t>
    </r>
    <r>
      <rPr>
        <b/>
        <sz val="12"/>
        <color rgb="FF00B050"/>
        <rFont val="微軟正黑體"/>
        <family val="2"/>
        <charset val="136"/>
      </rPr>
      <t>註3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</si>
  <si>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運轉時段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</si>
  <si>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熱水溫度設定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</si>
  <si>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製熱能力設計值 (kW)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</si>
  <si>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熱源型式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</si>
  <si>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註1</t>
    </r>
    <r>
      <rPr>
        <sz val="10"/>
        <color theme="1"/>
        <rFont val="微軟正黑體"/>
        <family val="2"/>
        <charset val="136"/>
      </rPr>
      <t>：
　1.無 - 無設置儲熱水箱，熱泵即開即熱、即產即用，熱泵需頻繁起停以因應用水需求
　2.少量 - 有儲熱水箱，但容量僅能支應短時間用水尖峰，無法有效移轉負載或平滑熱泵運轉
　3.中等 - 容量適中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</si>
  <si>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註2</t>
    </r>
    <r>
      <rPr>
        <sz val="10"/>
        <color theme="1"/>
        <rFont val="微軟正黑體"/>
        <family val="2"/>
        <charset val="136"/>
      </rPr>
      <t>：
　1.經常 - 每週或每日皆會發生高溫跳停，系統需人工重啟或等待降溫
　2.偶爾 - 僅於高負載或特定季節發生，不影響日常供水，但偶有干擾
　3.幾乎沒有 - 極少或未曾發生高溫跳停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</si>
  <si>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註3</t>
    </r>
    <r>
      <rPr>
        <sz val="10"/>
        <color theme="1"/>
        <rFont val="微軟正黑體"/>
        <family val="2"/>
        <charset val="136"/>
      </rPr>
      <t>：
　1.良好 - 有定期保養計畫與紀錄，由原廠或合格技術人員執行，包含熱交換器、感測器、控制參數檢查
　2.一般 - 有保養，但頻率不固定，多以基本清潔與故障檢修為主
　3.不良 - 無固定保養計畫，多為故障後才處理</t>
    </r>
    <phoneticPr fontId="1" type="noConversion"/>
  </si>
  <si>
    <r>
      <t>鍋爐類型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</si>
  <si>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燃料類型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</si>
  <si>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使用年限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</si>
  <si>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蒸氣設定壓力
或 熱水設定溫度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</si>
  <si>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是否搭配儲熱
或 備汽或緩衝槽</t>
    </r>
    <r>
      <rPr>
        <b/>
        <sz val="12"/>
        <color rgb="FF00B050"/>
        <rFont val="微軟正黑體"/>
        <family val="2"/>
        <charset val="136"/>
      </rPr>
      <t>註1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</si>
  <si>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燃燒與熱交換器清潔狀況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</si>
  <si>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是否常高溫/壓跳停</t>
    </r>
    <r>
      <rPr>
        <b/>
        <sz val="12"/>
        <color rgb="FF00B050"/>
        <rFont val="微軟正黑體"/>
        <family val="2"/>
        <charset val="136"/>
      </rPr>
      <t>註2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</si>
  <si>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主要用途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</si>
  <si>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註1</t>
    </r>
    <r>
      <rPr>
        <sz val="10"/>
        <color theme="1"/>
        <rFont val="微軟正黑體"/>
        <family val="2"/>
        <charset val="136"/>
      </rPr>
      <t>:
無 - 縮短時間緩衝，無法移轉負載
中 - 可支應主要尖峰需求
大 - 可支應長時間需求，具負載移轉能力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</si>
  <si>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註2</t>
    </r>
    <r>
      <rPr>
        <sz val="10"/>
        <color theme="1"/>
        <rFont val="微軟正黑體"/>
        <family val="2"/>
        <charset val="136"/>
      </rPr>
      <t>：
經常 - 每週或每日
偶爾 - 高負載或特定時段
幾乎沒有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</si>
  <si>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註3</t>
    </r>
    <r>
      <rPr>
        <sz val="10"/>
        <color theme="1"/>
        <rFont val="微軟正黑體"/>
        <family val="2"/>
        <charset val="136"/>
      </rPr>
      <t>：
良好 - 定期保養 + 燃燒調整 + 紀錄完整
一般 - 有保養但不固定
不足 - 多為故障後才處理
不清楚/無紀錄</t>
    </r>
    <phoneticPr fontId="1" type="noConversion"/>
  </si>
  <si>
    <r>
      <t>單台風機功率(kW)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</si>
  <si>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 xml:space="preserve">悶熱感（體感）
</t>
    </r>
    <r>
      <rPr>
        <b/>
        <sz val="10"/>
        <color rgb="FF00B050"/>
        <rFont val="微軟正黑體"/>
        <family val="2"/>
        <charset val="136"/>
      </rPr>
      <t>註5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</si>
  <si>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 xml:space="preserve">噪音干擾
</t>
    </r>
    <r>
      <rPr>
        <b/>
        <sz val="10"/>
        <color rgb="FF00B050"/>
        <rFont val="微軟正黑體"/>
        <family val="2"/>
        <charset val="136"/>
      </rPr>
      <t>註6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</si>
  <si>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 xml:space="preserve">空氣品質（嗅覺）
</t>
    </r>
    <r>
      <rPr>
        <b/>
        <sz val="10"/>
        <color rgb="FF00B050"/>
        <rFont val="微軟正黑體"/>
        <family val="2"/>
        <charset val="136"/>
      </rPr>
      <t>註4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</si>
  <si>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 xml:space="preserve">區域化控制
</t>
    </r>
    <r>
      <rPr>
        <b/>
        <sz val="10"/>
        <color rgb="FF00B050"/>
        <rFont val="微軟正黑體"/>
        <family val="2"/>
        <charset val="136"/>
      </rPr>
      <t>註3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</si>
  <si>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 xml:space="preserve">CO濃度感知
</t>
    </r>
    <r>
      <rPr>
        <b/>
        <sz val="10"/>
        <color rgb="FF00B050"/>
        <rFont val="微軟正黑體"/>
        <family val="2"/>
        <charset val="136"/>
      </rPr>
      <t>註2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</si>
  <si>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 xml:space="preserve">啟停控制靈活度
</t>
    </r>
    <r>
      <rPr>
        <b/>
        <sz val="10"/>
        <color rgb="FF00B050"/>
        <rFont val="微軟正黑體"/>
        <family val="2"/>
        <charset val="136"/>
      </rPr>
      <t>註1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</si>
  <si>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 xml:space="preserve">皮帶狀況
</t>
    </r>
    <r>
      <rPr>
        <b/>
        <sz val="10"/>
        <color rgb="FF00B050"/>
        <rFont val="微軟正黑體"/>
        <family val="2"/>
        <charset val="136"/>
      </rPr>
      <t>註1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</si>
  <si>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 xml:space="preserve">振動與異音
</t>
    </r>
    <r>
      <rPr>
        <b/>
        <sz val="10"/>
        <color rgb="FF00B050"/>
        <rFont val="微軟正黑體"/>
        <family val="2"/>
        <charset val="136"/>
      </rPr>
      <t>註2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</si>
  <si>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 xml:space="preserve">排風口狀況
</t>
    </r>
    <r>
      <rPr>
        <b/>
        <sz val="10"/>
        <color rgb="FF00B050"/>
        <rFont val="微軟正黑體"/>
        <family val="2"/>
        <charset val="136"/>
      </rPr>
      <t>註3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</si>
  <si>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 xml:space="preserve">運轉時機
</t>
    </r>
    <r>
      <rPr>
        <b/>
        <sz val="10"/>
        <color rgb="FF00B050"/>
        <rFont val="微軟正黑體"/>
        <family val="2"/>
        <charset val="136"/>
      </rPr>
      <t>註4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</si>
  <si>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 xml:space="preserve">補氣狀況
</t>
    </r>
    <r>
      <rPr>
        <b/>
        <sz val="10"/>
        <color rgb="FF00B050"/>
        <rFont val="微軟正黑體"/>
        <family val="2"/>
        <charset val="136"/>
      </rPr>
      <t>註5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</si>
  <si>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註1</t>
    </r>
    <r>
      <rPr>
        <sz val="10"/>
        <color theme="1"/>
        <rFont val="微軟正黑體"/>
        <family val="2"/>
        <charset val="136"/>
      </rPr>
      <t>：(若為皮帶傳動)檢查皮帶的張力與磨損狀況？
緊實：張力適中無磨損
略鬆：有些微粉塵
打滑/龜裂：效率大幅降低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</si>
  <si>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註2</t>
    </r>
    <r>
      <rPr>
        <sz val="10"/>
        <color theme="1"/>
        <rFont val="微軟正黑體"/>
        <family val="2"/>
        <charset val="136"/>
      </rPr>
      <t>：觸摸外殼或聆聽運轉聲音，是否有異常？
平穩：只有風切聲
劇烈：軸承磨損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</si>
  <si>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註3</t>
    </r>
    <r>
      <rPr>
        <sz val="10"/>
        <color theme="1"/>
        <rFont val="微軟正黑體"/>
        <family val="2"/>
        <charset val="136"/>
      </rPr>
      <t>：
順暢：全開無阻礙
阻塞/卡死：風阻大增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</si>
  <si>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註4</t>
    </r>
    <r>
      <rPr>
        <sz val="10"/>
        <color theme="1"/>
        <rFont val="微軟正黑體"/>
        <family val="2"/>
        <charset val="136"/>
      </rPr>
      <t>：風機通常在什麼時候運轉？
需量控制：僅必要時運轉
習慣性全開：無論天氣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</si>
  <si>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註5</t>
    </r>
    <r>
      <rPr>
        <sz val="10"/>
        <color theme="1"/>
        <rFont val="微軟正黑體"/>
        <family val="2"/>
        <charset val="136"/>
      </rPr>
      <t>：廠房/空間是否有足夠的進氣口(門窗、百葉)？
對流良好：進氣充足
嚴重負壓：風機空轉</t>
    </r>
    <phoneticPr fontId="1" type="noConversion"/>
  </si>
  <si>
    <r>
      <t>是否已安裝電容器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</si>
  <si>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目前功率因數
0.5~1.0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</si>
  <si>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目標功率因數
0.8~1.0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</si>
  <si>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電容器使用年限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</si>
  <si>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電容器狀況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</si>
  <si>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電容器容量
(kVAR)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</si>
  <si>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自動控制功能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</si>
  <si>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是否有節能標章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</si>
  <si>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冷卻方式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</si>
  <si>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每日運轉時數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</si>
  <si>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平均負載率 (%)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</si>
  <si>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變壓器類型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</si>
  <si>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變壓器使用年限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</si>
  <si>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總容量 (kVA)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</si>
  <si>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變壓器數量</t>
    </r>
    <r>
      <rPr>
        <b/>
        <sz val="10"/>
        <color rgb="FFFF0000"/>
        <rFont val="微軟正黑體"/>
        <family val="2"/>
        <charset val="136"/>
      </rPr>
      <t>*</t>
    </r>
    <phoneticPr fontId="1" type="noConversion"/>
  </si>
  <si>
    <r>
      <t>改善系統類別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</si>
  <si>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改善標的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</si>
  <si>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改善措施說明（簡要）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</si>
  <si>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改善措施總價（萬元）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</si>
  <si>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改善措施成本說明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</si>
  <si>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改善措施詳述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</si>
  <si>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改善後年用電量
 ( kWh )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</si>
  <si>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改善前年用電量
 ( kWh )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</si>
  <si>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業者自行改善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</si>
  <si>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媒合ESCO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</si>
  <si>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媒合政府資源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</si>
  <si>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註2</t>
    </r>
    <r>
      <rPr>
        <sz val="10"/>
        <color theme="1"/>
        <rFont val="微軟正黑體"/>
        <family val="2"/>
        <charset val="136"/>
      </rPr>
      <t>：
「路/街」請寫全名，如「杭州南路」(不要省略「路/街」)
「○段」請填國字(一、二、三…)，其餘填阿拉伯數字(1、2、3...)</t>
    </r>
    <phoneticPr fontId="1" type="noConversion"/>
  </si>
  <si>
    <r>
      <t>後續推動</t>
    </r>
    <r>
      <rPr>
        <b/>
        <sz val="12"/>
        <color rgb="FF00B050"/>
        <rFont val="微軟正黑體"/>
        <family val="2"/>
        <charset val="136"/>
      </rPr>
      <t>註2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</si>
  <si>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rPr>
        <b/>
        <sz val="12"/>
        <color rgb="FF00B050"/>
        <rFont val="微軟正黑體"/>
        <family val="2"/>
        <charset val="136"/>
      </rPr>
      <t>註2</t>
    </r>
    <r>
      <rPr>
        <sz val="12"/>
        <color theme="1"/>
        <rFont val="微軟正黑體"/>
        <family val="2"/>
        <charset val="136"/>
      </rPr>
      <t>：媒合ESCO或政府資源，請加註ESCO或政府資源名稱。</t>
    </r>
    <phoneticPr fontId="1" type="noConversion"/>
  </si>
  <si>
    <r>
      <t>改善措施類別</t>
    </r>
    <r>
      <rPr>
        <b/>
        <sz val="12"/>
        <color rgb="FF00B050"/>
        <rFont val="微軟正黑體"/>
        <family val="2"/>
        <charset val="136"/>
      </rPr>
      <t>註1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</si>
  <si>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rPr>
        <b/>
        <sz val="12"/>
        <color rgb="FF00B050"/>
        <rFont val="微軟正黑體"/>
        <family val="2"/>
        <charset val="136"/>
      </rPr>
      <t>註1</t>
    </r>
    <r>
      <rPr>
        <b/>
        <sz val="12"/>
        <rFont val="微軟正黑體"/>
        <family val="2"/>
        <charset val="136"/>
      </rPr>
      <t>：
汰換既有設備：將既有設備整組汰換為新品，如：將傳統螢光燈汰換為LED燈、將燃油鍋爐汰換為熱泵。
改善既有設備：針對既有設備汰換或新增部分零件，如：汰換冰箱壓縮機/LED燈/膠條、更換一般空調高效率冷媒等。
增加自動控制：藉由感測器自動控制設備，如：加裝感應器自動啟停燈光、依據CO</t>
    </r>
    <r>
      <rPr>
        <b/>
        <vertAlign val="subscript"/>
        <sz val="12"/>
        <rFont val="微軟正黑體"/>
        <family val="2"/>
        <charset val="136"/>
      </rPr>
      <t>2</t>
    </r>
    <r>
      <rPr>
        <b/>
        <sz val="12"/>
        <rFont val="微軟正黑體"/>
        <family val="2"/>
        <charset val="136"/>
      </rPr>
      <t>濃度啟停抽排風設備負載等。
增加變頻功能：針對既有設備加裝變頻控制器，如：針對加裝冷卻水泵/空調箱/抽排風機等加裝變頻控制器。
管理行為改善：針對人員操作/保養行為進行改善，如：現場人員依據需求分區啟停空調/照明、定期清洗空調室內機濾網等。</t>
    </r>
    <phoneticPr fontId="1" type="noConversion"/>
  </si>
  <si>
    <r>
      <t>負載率</t>
    </r>
    <r>
      <rPr>
        <b/>
        <sz val="12"/>
        <color rgb="FF00B050"/>
        <rFont val="微軟正黑體"/>
        <family val="2"/>
        <charset val="136"/>
      </rPr>
      <t>註3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</si>
  <si>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t>年用電佔比</t>
    <phoneticPr fontId="1" type="noConversion"/>
  </si>
  <si>
    <t>照明</t>
    <phoneticPr fontId="1" type="noConversion"/>
  </si>
  <si>
    <r>
      <t>系統名稱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</si>
  <si>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設備容量(RT)</t>
    </r>
    <r>
      <rPr>
        <b/>
        <sz val="12"/>
        <color rgb="FF00B050"/>
        <rFont val="微軟正黑體"/>
        <family val="2"/>
        <charset val="136"/>
      </rPr>
      <t>註1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</si>
  <si>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機齡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</si>
  <si>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產地/型式/定變頻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</si>
  <si>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保養等級</t>
    </r>
    <r>
      <rPr>
        <b/>
        <sz val="12"/>
        <color rgb="FF00B050"/>
        <rFont val="微軟正黑體"/>
        <family val="2"/>
        <charset val="136"/>
      </rPr>
      <t>註2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</si>
  <si>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冰水
出水溫度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</si>
  <si>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t>春季(3-5月)</t>
    <phoneticPr fontId="1" type="noConversion"/>
  </si>
  <si>
    <t>夏季(6-8月)</t>
    <phoneticPr fontId="1" type="noConversion"/>
  </si>
  <si>
    <t>秋季(9-11月)</t>
    <phoneticPr fontId="1" type="noConversion"/>
  </si>
  <si>
    <t>冬季(12-2月)</t>
    <phoneticPr fontId="1" type="noConversion"/>
  </si>
  <si>
    <r>
      <t>冷卻水
回水溫度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</si>
  <si>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室內或特定控溫空間的溫度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</si>
  <si>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t>室內或特定控溫空間的濕度</t>
    </r>
    <r>
      <rPr>
        <b/>
        <sz val="12"/>
        <color rgb="FFFF0000"/>
        <rFont val="微軟正黑體"/>
        <family val="2"/>
        <charset val="136"/>
      </rPr>
      <t>*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</si>
  <si>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註1</t>
    </r>
    <r>
      <rPr>
        <sz val="10"/>
        <color theme="1"/>
        <rFont val="微軟正黑體"/>
        <family val="2"/>
        <charset val="136"/>
      </rPr>
      <t>：請選擇最接近且「不高於實際數」的值，例如390，請選擇380。</t>
    </r>
    <phoneticPr fontId="1" type="noConversion"/>
  </si>
  <si>
    <r>
      <rPr>
        <b/>
        <sz val="10"/>
        <color rgb="FF00B050"/>
        <rFont val="微軟正黑體"/>
        <family val="2"/>
        <charset val="136"/>
      </rPr>
      <t>註2</t>
    </r>
    <r>
      <rPr>
        <sz val="10"/>
        <color rgb="FFFF0000"/>
        <rFont val="微軟正黑體"/>
        <family val="2"/>
        <charset val="136"/>
      </rPr>
      <t>：</t>
    </r>
    <r>
      <rPr>
        <sz val="10"/>
        <color theme="1"/>
        <rFont val="微軟正黑體"/>
        <family val="2"/>
        <charset val="136"/>
      </rPr>
      <t xml:space="preserve">
【良好】(例行確實)
　1.每月檢查冷卻塔與水盤運作狀況
　2.每季清洗水盤／補水槽並清理濾網
　3.每半年刷洗冷凝器管（必要時加藥）
　4.全年持續進行水質處理（加藥或旁濾）
【一般】(間歇保養)
　1.約每季檢查冷卻塔與水盤
　2.每年刷洗冷凝器管約1次
　3.水質處理僅間歇或季節性進行
【欠佳】（少保養／無水處理）
　1.冷卻塔與水盤一年檢查1次或更少
　2.冷凝器管多年未清洗
　3.無固定水質處理或旁濾</t>
    </r>
    <phoneticPr fontId="1" type="noConversion"/>
  </si>
  <si>
    <t>表A｜冰水主機/循環水泵/冷卻水塔/空調箱/一般空調  診斷問卷</t>
    <phoneticPr fontId="1" type="noConversion"/>
  </si>
  <si>
    <t>節能輔導報告書 節能改善措施追蹤紀錄表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</si>
</sst>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,##0_ "/>
    <numFmt numFmtId="177" formatCode="m&quot;月&quot;d&quot;日&quot;"/>
    <numFmt numFmtId="178" formatCode="0.00_ "/>
    <numFmt numFmtId="179" formatCode="0_ "/>
    <numFmt numFmtId="180" formatCode="0.0_ "/>
    <numFmt numFmtId="181" formatCode="0.0%"/>
    <numFmt numFmtId="182" formatCode="0.000_ "/>
    <numFmt numFmtId="183" formatCode="#,##0.00_ "/>
    <numFmt numFmtId="184" formatCode="#,##0.000_ "/>
    <numFmt numFmtId="185" formatCode="#,##0.0_ "/>
  </numFmts>
  <fonts count="4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b/>
      <sz val="12"/>
      <color theme="1"/>
      <name val="標楷體"/>
      <family val="4"/>
      <charset val="136"/>
    </font>
    <font>
      <b/>
      <sz val="12"/>
      <color theme="1"/>
      <name val="Times New Roman"/>
      <family val="1"/>
    </font>
    <font>
      <sz val="12"/>
      <color theme="0" tint="-0.34998626667073579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2" tint="-0.249977111117893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8"/>
      <color rgb="FFFF0000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1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u/>
      <sz val="10"/>
      <color rgb="FF3333FF"/>
      <name val="微軟正黑體"/>
      <family val="2"/>
      <charset val="136"/>
    </font>
    <font>
      <sz val="10"/>
      <color theme="1"/>
      <name val="標楷體"/>
      <family val="4"/>
      <charset val="136"/>
    </font>
    <font>
      <b/>
      <sz val="10"/>
      <name val="微軟正黑體"/>
      <family val="2"/>
      <charset val="136"/>
    </font>
    <font>
      <b/>
      <sz val="14"/>
      <name val="微軟正黑體"/>
      <family val="2"/>
      <charset val="136"/>
    </font>
    <font>
      <b/>
      <vertAlign val="subscript"/>
      <sz val="12"/>
      <name val="微軟正黑體"/>
      <family val="2"/>
      <charset val="136"/>
    </font>
    <font>
      <b/>
      <sz val="9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b/>
      <sz val="18"/>
      <name val="微軟正黑體"/>
      <family val="2"/>
      <charset val="136"/>
    </font>
    <font>
      <b/>
      <vertAlign val="superscript"/>
      <sz val="12"/>
      <color theme="1"/>
      <name val="微軟正黑體"/>
      <family val="2"/>
      <charset val="136"/>
    </font>
    <font>
      <b/>
      <vertAlign val="subscript"/>
      <sz val="12"/>
      <color theme="1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0"/>
      <color rgb="FF00B050"/>
      <name val="微軟正黑體"/>
      <family val="2"/>
      <charset val="136"/>
    </font>
    <font>
      <b/>
      <sz val="11"/>
      <color rgb="FF00B05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D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/>
      <right style="medium">
        <color rgb="FF000000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indexed="64"/>
      </right>
      <top/>
      <bottom style="medium">
        <color rgb="FF000000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rgb="FF000000"/>
      </right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medium">
        <color rgb="FF000000"/>
      </right>
      <top/>
      <bottom style="double">
        <color indexed="64"/>
      </bottom>
      <diagonal/>
    </border>
    <border>
      <left style="thick">
        <color indexed="64"/>
      </left>
      <right style="medium">
        <color rgb="FF000000"/>
      </right>
      <top/>
      <bottom/>
      <diagonal/>
    </border>
    <border>
      <left style="thick">
        <color indexed="64"/>
      </left>
      <right style="medium">
        <color rgb="FF000000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medium">
        <color rgb="FF000000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medium">
        <color rgb="FF000000"/>
      </bottom>
      <diagonal/>
    </border>
    <border>
      <left/>
      <right style="double">
        <color indexed="64"/>
      </right>
      <top style="double">
        <color indexed="64"/>
      </top>
      <bottom style="medium">
        <color rgb="FF000000"/>
      </bottom>
      <diagonal/>
    </border>
    <border>
      <left style="thick">
        <color indexed="64"/>
      </left>
      <right/>
      <top style="medium">
        <color rgb="FF000000"/>
      </top>
      <bottom style="double">
        <color indexed="64"/>
      </bottom>
      <diagonal/>
    </border>
    <border>
      <left/>
      <right style="double">
        <color indexed="64"/>
      </right>
      <top style="medium">
        <color rgb="FF000000"/>
      </top>
      <bottom style="double">
        <color indexed="64"/>
      </bottom>
      <diagonal/>
    </border>
    <border>
      <left style="thick">
        <color indexed="64"/>
      </left>
      <right style="medium">
        <color rgb="FF000000"/>
      </right>
      <top style="double">
        <color indexed="64"/>
      </top>
      <bottom/>
      <diagonal/>
    </border>
    <border>
      <left style="medium">
        <color rgb="FF000000"/>
      </left>
      <right style="double">
        <color indexed="64"/>
      </right>
      <top style="double">
        <color indexed="64"/>
      </top>
      <bottom/>
      <diagonal/>
    </border>
    <border>
      <left style="medium">
        <color rgb="FF000000"/>
      </left>
      <right style="double">
        <color indexed="64"/>
      </right>
      <top/>
      <bottom/>
      <diagonal/>
    </border>
    <border>
      <left style="medium">
        <color rgb="FF000000"/>
      </left>
      <right style="double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ck">
        <color indexed="64"/>
      </right>
      <top style="double">
        <color indexed="64"/>
      </top>
      <bottom/>
      <diagonal/>
    </border>
    <border>
      <left style="medium">
        <color rgb="FF000000"/>
      </left>
      <right style="thick">
        <color indexed="64"/>
      </right>
      <top/>
      <bottom/>
      <diagonal/>
    </border>
    <border>
      <left style="medium">
        <color rgb="FF000000"/>
      </left>
      <right style="thick">
        <color indexed="64"/>
      </right>
      <top/>
      <bottom style="medium">
        <color rgb="FF000000"/>
      </bottom>
      <diagonal/>
    </border>
    <border>
      <left style="double">
        <color indexed="64"/>
      </left>
      <right style="medium">
        <color rgb="FF000000"/>
      </right>
      <top style="double">
        <color indexed="64"/>
      </top>
      <bottom/>
      <diagonal/>
    </border>
    <border>
      <left style="double">
        <color indexed="64"/>
      </left>
      <right style="medium">
        <color rgb="FF000000"/>
      </right>
      <top/>
      <bottom/>
      <diagonal/>
    </border>
    <border>
      <left style="double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341">
    <xf numFmtId="0" fontId="0" fillId="0" borderId="0" xfId="0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left" vertical="center" indent="1"/>
    </xf>
    <xf numFmtId="0" fontId="14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0" fillId="0" borderId="0" xfId="0" applyFont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/>
    </xf>
    <xf numFmtId="176" fontId="10" fillId="0" borderId="49" xfId="0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10" fontId="18" fillId="4" borderId="1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5" fillId="2" borderId="47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indent="1"/>
    </xf>
    <xf numFmtId="0" fontId="18" fillId="2" borderId="1" xfId="0" quotePrefix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4" fillId="3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6" fillId="0" borderId="0" xfId="1" applyFont="1" applyFill="1" applyAlignment="1">
      <alignment horizontal="center" vertical="center"/>
    </xf>
    <xf numFmtId="176" fontId="10" fillId="3" borderId="1" xfId="0" applyNumberFormat="1" applyFont="1" applyFill="1" applyBorder="1" applyAlignment="1">
      <alignment horizontal="right" vertical="center"/>
    </xf>
    <xf numFmtId="176" fontId="10" fillId="4" borderId="1" xfId="0" applyNumberFormat="1" applyFont="1" applyFill="1" applyBorder="1" applyAlignment="1">
      <alignment horizontal="right" vertical="center"/>
    </xf>
    <xf numFmtId="176" fontId="10" fillId="4" borderId="45" xfId="0" applyNumberFormat="1" applyFont="1" applyFill="1" applyBorder="1" applyAlignment="1">
      <alignment horizontal="right" vertical="center"/>
    </xf>
    <xf numFmtId="176" fontId="10" fillId="4" borderId="47" xfId="0" applyNumberFormat="1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center" vertical="center"/>
    </xf>
    <xf numFmtId="10" fontId="18" fillId="4" borderId="4" xfId="0" applyNumberFormat="1" applyFont="1" applyFill="1" applyBorder="1" applyAlignment="1">
      <alignment horizontal="center" vertical="center"/>
    </xf>
    <xf numFmtId="179" fontId="18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79" fontId="10" fillId="3" borderId="1" xfId="0" applyNumberFormat="1" applyFont="1" applyFill="1" applyBorder="1" applyAlignment="1">
      <alignment horizontal="center" vertical="center"/>
    </xf>
    <xf numFmtId="180" fontId="18" fillId="3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80" fontId="18" fillId="3" borderId="47" xfId="0" applyNumberFormat="1" applyFont="1" applyFill="1" applyBorder="1" applyAlignment="1">
      <alignment horizontal="center" vertical="center"/>
    </xf>
    <xf numFmtId="179" fontId="18" fillId="4" borderId="47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18" fillId="6" borderId="1" xfId="0" applyFont="1" applyFill="1" applyBorder="1">
      <alignment vertical="center"/>
    </xf>
    <xf numFmtId="0" fontId="18" fillId="6" borderId="47" xfId="0" applyFont="1" applyFill="1" applyBorder="1" applyAlignment="1">
      <alignment horizontal="center" vertical="center"/>
    </xf>
    <xf numFmtId="0" fontId="18" fillId="6" borderId="47" xfId="0" applyFont="1" applyFill="1" applyBorder="1">
      <alignment vertical="center"/>
    </xf>
    <xf numFmtId="0" fontId="27" fillId="0" borderId="0" xfId="0" applyFont="1">
      <alignment vertical="center"/>
    </xf>
    <xf numFmtId="0" fontId="28" fillId="2" borderId="1" xfId="0" applyFont="1" applyFill="1" applyBorder="1" applyAlignment="1">
      <alignment horizontal="center" vertical="center" wrapText="1"/>
    </xf>
    <xf numFmtId="0" fontId="28" fillId="2" borderId="47" xfId="0" applyFont="1" applyFill="1" applyBorder="1" applyAlignment="1">
      <alignment horizontal="center" vertical="center" wrapText="1"/>
    </xf>
    <xf numFmtId="0" fontId="21" fillId="2" borderId="1" xfId="0" applyFont="1" applyFill="1" applyBorder="1">
      <alignment vertical="center"/>
    </xf>
    <xf numFmtId="49" fontId="18" fillId="3" borderId="1" xfId="0" applyNumberFormat="1" applyFont="1" applyFill="1" applyBorder="1" applyAlignment="1">
      <alignment horizontal="left" vertical="center" wrapText="1"/>
    </xf>
    <xf numFmtId="181" fontId="18" fillId="4" borderId="1" xfId="0" applyNumberFormat="1" applyFont="1" applyFill="1" applyBorder="1" applyAlignment="1">
      <alignment horizontal="right" vertical="center" wrapText="1"/>
    </xf>
    <xf numFmtId="182" fontId="18" fillId="4" borderId="1" xfId="0" applyNumberFormat="1" applyFont="1" applyFill="1" applyBorder="1" applyAlignment="1">
      <alignment horizontal="right" vertical="center" wrapText="1"/>
    </xf>
    <xf numFmtId="180" fontId="18" fillId="4" borderId="1" xfId="0" applyNumberFormat="1" applyFont="1" applyFill="1" applyBorder="1" applyAlignment="1">
      <alignment horizontal="right" vertical="center" wrapText="1"/>
    </xf>
    <xf numFmtId="183" fontId="18" fillId="3" borderId="1" xfId="0" applyNumberFormat="1" applyFont="1" applyFill="1" applyBorder="1" applyAlignment="1">
      <alignment horizontal="right" vertical="center" wrapText="1"/>
    </xf>
    <xf numFmtId="183" fontId="18" fillId="4" borderId="1" xfId="0" applyNumberFormat="1" applyFont="1" applyFill="1" applyBorder="1" applyAlignment="1">
      <alignment horizontal="right" vertical="center" wrapText="1"/>
    </xf>
    <xf numFmtId="0" fontId="19" fillId="2" borderId="52" xfId="0" applyFont="1" applyFill="1" applyBorder="1" applyAlignment="1">
      <alignment horizontal="center" vertical="center"/>
    </xf>
    <xf numFmtId="0" fontId="33" fillId="0" borderId="0" xfId="0" applyFont="1">
      <alignment vertical="center"/>
    </xf>
    <xf numFmtId="0" fontId="18" fillId="4" borderId="1" xfId="0" applyFont="1" applyFill="1" applyBorder="1" applyAlignment="1">
      <alignment horizontal="center" vertical="center" wrapText="1"/>
    </xf>
    <xf numFmtId="0" fontId="18" fillId="4" borderId="45" xfId="0" applyFont="1" applyFill="1" applyBorder="1" applyAlignment="1">
      <alignment horizontal="center" vertical="center" wrapText="1"/>
    </xf>
    <xf numFmtId="176" fontId="18" fillId="4" borderId="1" xfId="0" applyNumberFormat="1" applyFont="1" applyFill="1" applyBorder="1" applyAlignment="1">
      <alignment horizontal="center" vertical="center" wrapText="1"/>
    </xf>
    <xf numFmtId="176" fontId="18" fillId="4" borderId="45" xfId="0" applyNumberFormat="1" applyFont="1" applyFill="1" applyBorder="1" applyAlignment="1">
      <alignment horizontal="center" vertical="center" wrapText="1"/>
    </xf>
    <xf numFmtId="182" fontId="18" fillId="4" borderId="1" xfId="0" applyNumberFormat="1" applyFont="1" applyFill="1" applyBorder="1" applyAlignment="1">
      <alignment horizontal="center" vertical="center" wrapText="1"/>
    </xf>
    <xf numFmtId="182" fontId="18" fillId="4" borderId="45" xfId="0" applyNumberFormat="1" applyFont="1" applyFill="1" applyBorder="1" applyAlignment="1">
      <alignment horizontal="center" vertical="center" wrapText="1"/>
    </xf>
    <xf numFmtId="10" fontId="18" fillId="4" borderId="1" xfId="0" applyNumberFormat="1" applyFont="1" applyFill="1" applyBorder="1" applyAlignment="1">
      <alignment horizontal="center" vertical="center" wrapText="1"/>
    </xf>
    <xf numFmtId="0" fontId="18" fillId="2" borderId="52" xfId="0" applyFont="1" applyFill="1" applyBorder="1" applyAlignment="1">
      <alignment horizontal="center" vertical="center" wrapText="1"/>
    </xf>
    <xf numFmtId="0" fontId="18" fillId="2" borderId="53" xfId="0" applyFont="1" applyFill="1" applyBorder="1" applyAlignment="1">
      <alignment horizontal="center" vertical="center" wrapText="1"/>
    </xf>
    <xf numFmtId="178" fontId="18" fillId="4" borderId="47" xfId="0" applyNumberFormat="1" applyFont="1" applyFill="1" applyBorder="1" applyAlignment="1">
      <alignment horizontal="center" vertical="center" wrapText="1"/>
    </xf>
    <xf numFmtId="178" fontId="18" fillId="4" borderId="48" xfId="0" applyNumberFormat="1" applyFont="1" applyFill="1" applyBorder="1" applyAlignment="1">
      <alignment horizontal="center" vertical="center" wrapText="1"/>
    </xf>
    <xf numFmtId="176" fontId="18" fillId="4" borderId="52" xfId="0" applyNumberFormat="1" applyFont="1" applyFill="1" applyBorder="1" applyAlignment="1">
      <alignment horizontal="center" vertical="center" wrapText="1"/>
    </xf>
    <xf numFmtId="176" fontId="18" fillId="4" borderId="53" xfId="0" applyNumberFormat="1" applyFont="1" applyFill="1" applyBorder="1" applyAlignment="1">
      <alignment horizontal="center" vertical="center" wrapText="1"/>
    </xf>
    <xf numFmtId="176" fontId="18" fillId="4" borderId="47" xfId="0" applyNumberFormat="1" applyFont="1" applyFill="1" applyBorder="1" applyAlignment="1">
      <alignment horizontal="center" vertical="center" wrapText="1"/>
    </xf>
    <xf numFmtId="176" fontId="18" fillId="4" borderId="48" xfId="0" applyNumberFormat="1" applyFont="1" applyFill="1" applyBorder="1" applyAlignment="1">
      <alignment horizontal="center" vertical="center" wrapText="1"/>
    </xf>
    <xf numFmtId="49" fontId="18" fillId="4" borderId="1" xfId="0" applyNumberFormat="1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49" fontId="18" fillId="4" borderId="6" xfId="0" applyNumberFormat="1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61" xfId="0" applyFont="1" applyFill="1" applyBorder="1" applyAlignment="1">
      <alignment horizontal="center" vertical="center" wrapText="1"/>
    </xf>
    <xf numFmtId="178" fontId="18" fillId="4" borderId="68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47" xfId="0" applyFont="1" applyFill="1" applyBorder="1" applyAlignment="1">
      <alignment horizontal="center" vertical="center"/>
    </xf>
    <xf numFmtId="0" fontId="10" fillId="6" borderId="47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18" fillId="6" borderId="1" xfId="0" quotePrefix="1" applyFont="1" applyFill="1" applyBorder="1" applyAlignment="1">
      <alignment horizontal="center" vertical="center"/>
    </xf>
    <xf numFmtId="0" fontId="18" fillId="2" borderId="45" xfId="0" quotePrefix="1" applyFont="1" applyFill="1" applyBorder="1" applyAlignment="1">
      <alignment horizontal="center" vertical="center"/>
    </xf>
    <xf numFmtId="179" fontId="10" fillId="3" borderId="45" xfId="0" applyNumberFormat="1" applyFont="1" applyFill="1" applyBorder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0" fontId="13" fillId="0" borderId="0" xfId="0" applyFont="1">
      <alignment vertical="center"/>
    </xf>
    <xf numFmtId="176" fontId="18" fillId="3" borderId="1" xfId="0" applyNumberFormat="1" applyFont="1" applyFill="1" applyBorder="1" applyAlignment="1">
      <alignment horizontal="center" vertical="center"/>
    </xf>
    <xf numFmtId="0" fontId="18" fillId="3" borderId="1" xfId="0" quotePrefix="1" applyFont="1" applyFill="1" applyBorder="1" applyAlignment="1">
      <alignment horizontal="center" vertical="center"/>
    </xf>
    <xf numFmtId="179" fontId="18" fillId="3" borderId="1" xfId="0" quotePrefix="1" applyNumberFormat="1" applyFont="1" applyFill="1" applyBorder="1" applyAlignment="1">
      <alignment horizontal="center" vertical="center"/>
    </xf>
    <xf numFmtId="179" fontId="18" fillId="3" borderId="45" xfId="0" quotePrefix="1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10" fillId="3" borderId="47" xfId="0" applyNumberFormat="1" applyFont="1" applyFill="1" applyBorder="1" applyAlignment="1">
      <alignment horizontal="center" vertical="center"/>
    </xf>
    <xf numFmtId="10" fontId="10" fillId="4" borderId="45" xfId="0" applyNumberFormat="1" applyFont="1" applyFill="1" applyBorder="1" applyAlignment="1">
      <alignment horizontal="right" vertical="center"/>
    </xf>
    <xf numFmtId="10" fontId="10" fillId="4" borderId="48" xfId="0" applyNumberFormat="1" applyFont="1" applyFill="1" applyBorder="1" applyAlignment="1">
      <alignment horizontal="right" vertical="center"/>
    </xf>
    <xf numFmtId="176" fontId="10" fillId="3" borderId="47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right" vertical="center"/>
    </xf>
    <xf numFmtId="9" fontId="10" fillId="3" borderId="1" xfId="0" applyNumberFormat="1" applyFont="1" applyFill="1" applyBorder="1" applyAlignment="1">
      <alignment horizontal="right" vertical="center"/>
    </xf>
    <xf numFmtId="0" fontId="10" fillId="3" borderId="47" xfId="0" applyFont="1" applyFill="1" applyBorder="1" applyAlignment="1">
      <alignment horizontal="right" vertical="center"/>
    </xf>
    <xf numFmtId="9" fontId="10" fillId="3" borderId="47" xfId="0" applyNumberFormat="1" applyFont="1" applyFill="1" applyBorder="1" applyAlignment="1">
      <alignment horizontal="right" vertical="center"/>
    </xf>
    <xf numFmtId="180" fontId="10" fillId="4" borderId="82" xfId="0" applyNumberFormat="1" applyFont="1" applyFill="1" applyBorder="1" applyAlignment="1">
      <alignment horizontal="center" vertical="center"/>
    </xf>
    <xf numFmtId="176" fontId="18" fillId="3" borderId="47" xfId="0" applyNumberFormat="1" applyFont="1" applyFill="1" applyBorder="1" applyAlignment="1">
      <alignment horizontal="center" vertical="center"/>
    </xf>
    <xf numFmtId="185" fontId="18" fillId="4" borderId="45" xfId="0" applyNumberFormat="1" applyFont="1" applyFill="1" applyBorder="1" applyAlignment="1">
      <alignment horizontal="center" vertical="center"/>
    </xf>
    <xf numFmtId="185" fontId="18" fillId="4" borderId="48" xfId="0" applyNumberFormat="1" applyFont="1" applyFill="1" applyBorder="1" applyAlignment="1">
      <alignment horizontal="center" vertical="center"/>
    </xf>
    <xf numFmtId="185" fontId="10" fillId="4" borderId="1" xfId="0" applyNumberFormat="1" applyFont="1" applyFill="1" applyBorder="1" applyAlignment="1">
      <alignment horizontal="center" vertical="center"/>
    </xf>
    <xf numFmtId="185" fontId="10" fillId="4" borderId="47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right" vertical="center"/>
    </xf>
    <xf numFmtId="9" fontId="18" fillId="3" borderId="1" xfId="0" applyNumberFormat="1" applyFont="1" applyFill="1" applyBorder="1" applyAlignment="1">
      <alignment horizontal="right" vertical="center"/>
    </xf>
    <xf numFmtId="176" fontId="10" fillId="3" borderId="83" xfId="0" applyNumberFormat="1" applyFont="1" applyFill="1" applyBorder="1">
      <alignment vertical="center"/>
    </xf>
    <xf numFmtId="176" fontId="10" fillId="3" borderId="83" xfId="0" applyNumberFormat="1" applyFont="1" applyFill="1" applyBorder="1" applyAlignment="1">
      <alignment horizontal="center" vertical="center"/>
    </xf>
    <xf numFmtId="176" fontId="10" fillId="3" borderId="83" xfId="0" applyNumberFormat="1" applyFont="1" applyFill="1" applyBorder="1" applyAlignment="1">
      <alignment horizontal="right" vertical="center"/>
    </xf>
    <xf numFmtId="0" fontId="11" fillId="2" borderId="43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  <xf numFmtId="183" fontId="18" fillId="4" borderId="52" xfId="0" applyNumberFormat="1" applyFont="1" applyFill="1" applyBorder="1" applyAlignment="1">
      <alignment horizontal="center" vertical="center" wrapText="1"/>
    </xf>
    <xf numFmtId="183" fontId="18" fillId="4" borderId="53" xfId="0" applyNumberFormat="1" applyFont="1" applyFill="1" applyBorder="1" applyAlignment="1">
      <alignment horizontal="center" vertical="center" wrapText="1"/>
    </xf>
    <xf numFmtId="183" fontId="18" fillId="4" borderId="47" xfId="0" applyNumberFormat="1" applyFont="1" applyFill="1" applyBorder="1" applyAlignment="1">
      <alignment horizontal="center" vertical="center" wrapText="1"/>
    </xf>
    <xf numFmtId="183" fontId="18" fillId="4" borderId="48" xfId="0" applyNumberFormat="1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24" fillId="4" borderId="45" xfId="0" applyFont="1" applyFill="1" applyBorder="1" applyAlignment="1">
      <alignment horizontal="left" vertical="center" wrapText="1"/>
    </xf>
    <xf numFmtId="0" fontId="11" fillId="2" borderId="62" xfId="0" applyFont="1" applyFill="1" applyBorder="1" applyAlignment="1">
      <alignment horizontal="center" vertical="center" wrapText="1"/>
    </xf>
    <xf numFmtId="10" fontId="22" fillId="4" borderId="47" xfId="0" applyNumberFormat="1" applyFont="1" applyFill="1" applyBorder="1" applyAlignment="1">
      <alignment horizontal="center" vertical="center"/>
    </xf>
    <xf numFmtId="178" fontId="18" fillId="4" borderId="84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top" wrapText="1"/>
    </xf>
    <xf numFmtId="0" fontId="14" fillId="0" borderId="60" xfId="0" applyFont="1" applyBorder="1" applyAlignment="1">
      <alignment horizontal="left" vertical="top"/>
    </xf>
    <xf numFmtId="49" fontId="10" fillId="3" borderId="1" xfId="0" quotePrefix="1" applyNumberFormat="1" applyFont="1" applyFill="1" applyBorder="1" applyAlignment="1">
      <alignment horizontal="left" vertical="center"/>
    </xf>
    <xf numFmtId="49" fontId="10" fillId="3" borderId="45" xfId="0" quotePrefix="1" applyNumberFormat="1" applyFont="1" applyFill="1" applyBorder="1" applyAlignment="1">
      <alignment horizontal="left" vertical="center"/>
    </xf>
    <xf numFmtId="0" fontId="11" fillId="2" borderId="44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183" fontId="10" fillId="3" borderId="1" xfId="0" applyNumberFormat="1" applyFont="1" applyFill="1" applyBorder="1" applyAlignment="1">
      <alignment horizontal="center" vertical="center"/>
    </xf>
    <xf numFmtId="183" fontId="10" fillId="3" borderId="45" xfId="0" applyNumberFormat="1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/>
    </xf>
    <xf numFmtId="176" fontId="10" fillId="3" borderId="45" xfId="0" applyNumberFormat="1" applyFont="1" applyFill="1" applyBorder="1" applyAlignment="1">
      <alignment horizontal="center" vertical="center"/>
    </xf>
    <xf numFmtId="184" fontId="10" fillId="3" borderId="1" xfId="0" applyNumberFormat="1" applyFont="1" applyFill="1" applyBorder="1" applyAlignment="1">
      <alignment horizontal="center" vertical="center"/>
    </xf>
    <xf numFmtId="184" fontId="10" fillId="3" borderId="45" xfId="0" applyNumberFormat="1" applyFont="1" applyFill="1" applyBorder="1" applyAlignment="1">
      <alignment horizontal="center" vertical="center"/>
    </xf>
    <xf numFmtId="176" fontId="10" fillId="3" borderId="47" xfId="0" applyNumberFormat="1" applyFont="1" applyFill="1" applyBorder="1" applyAlignment="1">
      <alignment horizontal="center" vertical="center"/>
    </xf>
    <xf numFmtId="176" fontId="10" fillId="3" borderId="48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45" xfId="0" applyFont="1" applyFill="1" applyBorder="1" applyAlignment="1">
      <alignment horizontal="center" vertical="center"/>
    </xf>
    <xf numFmtId="0" fontId="18" fillId="6" borderId="1" xfId="0" quotePrefix="1" applyFont="1" applyFill="1" applyBorder="1" applyAlignment="1">
      <alignment horizontal="center" vertical="center"/>
    </xf>
    <xf numFmtId="0" fontId="18" fillId="6" borderId="45" xfId="0" quotePrefix="1" applyFont="1" applyFill="1" applyBorder="1" applyAlignment="1">
      <alignment horizontal="center" vertical="center"/>
    </xf>
    <xf numFmtId="0" fontId="18" fillId="3" borderId="4" xfId="0" quotePrefix="1" applyFont="1" applyFill="1" applyBorder="1" applyAlignment="1">
      <alignment horizontal="center" vertical="center"/>
    </xf>
    <xf numFmtId="0" fontId="18" fillId="3" borderId="5" xfId="0" quotePrefix="1" applyFont="1" applyFill="1" applyBorder="1" applyAlignment="1">
      <alignment horizontal="center" vertical="center"/>
    </xf>
    <xf numFmtId="0" fontId="18" fillId="3" borderId="80" xfId="0" quotePrefix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8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1" fillId="2" borderId="52" xfId="0" applyFont="1" applyFill="1" applyBorder="1" applyAlignment="1">
      <alignment horizontal="center" vertical="center"/>
    </xf>
    <xf numFmtId="0" fontId="21" fillId="2" borderId="53" xfId="0" applyFont="1" applyFill="1" applyBorder="1" applyAlignment="1">
      <alignment horizontal="center" vertical="center"/>
    </xf>
    <xf numFmtId="0" fontId="32" fillId="0" borderId="67" xfId="0" applyFont="1" applyBorder="1" applyAlignment="1">
      <alignment horizontal="center" vertical="center"/>
    </xf>
    <xf numFmtId="0" fontId="32" fillId="0" borderId="68" xfId="0" applyFont="1" applyBorder="1" applyAlignment="1">
      <alignment horizontal="center" vertical="center"/>
    </xf>
    <xf numFmtId="0" fontId="32" fillId="0" borderId="69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center" vertical="center"/>
    </xf>
    <xf numFmtId="0" fontId="18" fillId="5" borderId="76" xfId="0" quotePrefix="1" applyFont="1" applyFill="1" applyBorder="1" applyAlignment="1">
      <alignment horizontal="center" vertical="center"/>
    </xf>
    <xf numFmtId="0" fontId="18" fillId="5" borderId="63" xfId="0" quotePrefix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45" xfId="0" applyFont="1" applyFill="1" applyBorder="1" applyAlignment="1">
      <alignment horizontal="center" vertical="center"/>
    </xf>
    <xf numFmtId="0" fontId="10" fillId="3" borderId="1" xfId="0" quotePrefix="1" applyFont="1" applyFill="1" applyBorder="1" applyAlignment="1">
      <alignment horizontal="center" vertical="center"/>
    </xf>
    <xf numFmtId="0" fontId="10" fillId="3" borderId="45" xfId="0" quotePrefix="1" applyFont="1" applyFill="1" applyBorder="1" applyAlignment="1">
      <alignment horizontal="center" vertical="center"/>
    </xf>
    <xf numFmtId="0" fontId="11" fillId="2" borderId="8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49" fontId="10" fillId="3" borderId="56" xfId="0" applyNumberFormat="1" applyFont="1" applyFill="1" applyBorder="1" applyAlignment="1">
      <alignment horizontal="center" vertical="center"/>
    </xf>
    <xf numFmtId="49" fontId="10" fillId="3" borderId="2" xfId="0" applyNumberFormat="1" applyFont="1" applyFill="1" applyBorder="1" applyAlignment="1">
      <alignment horizontal="center" vertical="center"/>
    </xf>
    <xf numFmtId="0" fontId="11" fillId="2" borderId="59" xfId="0" applyFont="1" applyFill="1" applyBorder="1" applyAlignment="1">
      <alignment horizontal="center" vertical="center"/>
    </xf>
    <xf numFmtId="0" fontId="11" fillId="2" borderId="54" xfId="0" applyFont="1" applyFill="1" applyBorder="1" applyAlignment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2" borderId="77" xfId="0" applyFont="1" applyFill="1" applyBorder="1" applyAlignment="1">
      <alignment horizontal="center" vertical="center"/>
    </xf>
    <xf numFmtId="0" fontId="11" fillId="2" borderId="78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center" vertical="center"/>
    </xf>
    <xf numFmtId="176" fontId="18" fillId="3" borderId="1" xfId="0" applyNumberFormat="1" applyFont="1" applyFill="1" applyBorder="1" applyAlignment="1">
      <alignment horizontal="center" vertical="center"/>
    </xf>
    <xf numFmtId="176" fontId="18" fillId="3" borderId="45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178" fontId="10" fillId="4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32" fillId="0" borderId="73" xfId="0" applyFont="1" applyBorder="1" applyAlignment="1">
      <alignment horizontal="center" vertical="center"/>
    </xf>
    <xf numFmtId="0" fontId="32" fillId="0" borderId="74" xfId="0" applyFont="1" applyBorder="1" applyAlignment="1">
      <alignment horizontal="center" vertical="center"/>
    </xf>
    <xf numFmtId="0" fontId="32" fillId="0" borderId="75" xfId="0" applyFont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 wrapText="1"/>
    </xf>
    <xf numFmtId="0" fontId="19" fillId="2" borderId="52" xfId="0" applyFont="1" applyFill="1" applyBorder="1" applyAlignment="1">
      <alignment horizontal="center" vertical="center" wrapText="1"/>
    </xf>
    <xf numFmtId="0" fontId="19" fillId="2" borderId="46" xfId="0" applyFont="1" applyFill="1" applyBorder="1" applyAlignment="1">
      <alignment horizontal="center" vertical="center" wrapText="1"/>
    </xf>
    <xf numFmtId="0" fontId="19" fillId="2" borderId="47" xfId="0" applyFont="1" applyFill="1" applyBorder="1" applyAlignment="1">
      <alignment horizontal="center" vertical="center" wrapText="1"/>
    </xf>
    <xf numFmtId="0" fontId="19" fillId="2" borderId="52" xfId="0" applyFont="1" applyFill="1" applyBorder="1" applyAlignment="1">
      <alignment horizontal="center" vertical="center"/>
    </xf>
    <xf numFmtId="0" fontId="19" fillId="2" borderId="53" xfId="0" applyFont="1" applyFill="1" applyBorder="1" applyAlignment="1">
      <alignment horizontal="center" vertical="center"/>
    </xf>
    <xf numFmtId="0" fontId="19" fillId="4" borderId="47" xfId="0" applyFont="1" applyFill="1" applyBorder="1" applyAlignment="1">
      <alignment horizontal="center" vertical="center"/>
    </xf>
    <xf numFmtId="0" fontId="19" fillId="4" borderId="48" xfId="0" applyFont="1" applyFill="1" applyBorder="1" applyAlignment="1">
      <alignment horizontal="center" vertical="center"/>
    </xf>
    <xf numFmtId="0" fontId="15" fillId="0" borderId="79" xfId="0" applyFont="1" applyBorder="1" applyAlignment="1">
      <alignment horizontal="left" vertical="center"/>
    </xf>
    <xf numFmtId="49" fontId="18" fillId="3" borderId="52" xfId="0" applyNumberFormat="1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 wrapText="1"/>
    </xf>
    <xf numFmtId="0" fontId="11" fillId="2" borderId="47" xfId="0" applyFont="1" applyFill="1" applyBorder="1" applyAlignment="1">
      <alignment horizontal="center" vertical="center" wrapText="1"/>
    </xf>
    <xf numFmtId="0" fontId="11" fillId="2" borderId="5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/>
    </xf>
    <xf numFmtId="0" fontId="10" fillId="3" borderId="53" xfId="0" applyFont="1" applyFill="1" applyBorder="1" applyAlignment="1">
      <alignment horizontal="center" vertical="center"/>
    </xf>
    <xf numFmtId="177" fontId="10" fillId="6" borderId="1" xfId="0" applyNumberFormat="1" applyFont="1" applyFill="1" applyBorder="1" applyAlignment="1">
      <alignment horizontal="center" vertical="center"/>
    </xf>
    <xf numFmtId="0" fontId="10" fillId="6" borderId="45" xfId="0" applyFont="1" applyFill="1" applyBorder="1" applyAlignment="1">
      <alignment horizontal="center" vertical="center" wrapText="1"/>
    </xf>
    <xf numFmtId="0" fontId="32" fillId="0" borderId="70" xfId="0" applyFont="1" applyBorder="1" applyAlignment="1">
      <alignment horizontal="center" vertical="center"/>
    </xf>
    <xf numFmtId="0" fontId="32" fillId="0" borderId="71" xfId="0" applyFont="1" applyBorder="1" applyAlignment="1">
      <alignment horizontal="center" vertical="center"/>
    </xf>
    <xf numFmtId="0" fontId="32" fillId="0" borderId="72" xfId="0" applyFont="1" applyBorder="1" applyAlignment="1">
      <alignment horizontal="center" vertical="center"/>
    </xf>
    <xf numFmtId="177" fontId="10" fillId="6" borderId="45" xfId="0" applyNumberFormat="1" applyFont="1" applyFill="1" applyBorder="1" applyAlignment="1">
      <alignment horizontal="center" vertical="center"/>
    </xf>
    <xf numFmtId="179" fontId="10" fillId="3" borderId="1" xfId="0" applyNumberFormat="1" applyFont="1" applyFill="1" applyBorder="1" applyAlignment="1">
      <alignment horizontal="center" vertical="center"/>
    </xf>
    <xf numFmtId="179" fontId="10" fillId="3" borderId="4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horizontal="center" vertical="center"/>
    </xf>
    <xf numFmtId="0" fontId="10" fillId="3" borderId="62" xfId="0" applyFont="1" applyFill="1" applyBorder="1" applyAlignment="1">
      <alignment horizontal="center" vertical="center"/>
    </xf>
    <xf numFmtId="0" fontId="10" fillId="6" borderId="47" xfId="0" applyFont="1" applyFill="1" applyBorder="1" applyAlignment="1">
      <alignment horizontal="center" vertical="center" wrapText="1"/>
    </xf>
    <xf numFmtId="0" fontId="10" fillId="6" borderId="48" xfId="0" applyFont="1" applyFill="1" applyBorder="1" applyAlignment="1">
      <alignment horizontal="center" vertical="center" wrapText="1"/>
    </xf>
    <xf numFmtId="49" fontId="10" fillId="3" borderId="43" xfId="0" applyNumberFormat="1" applyFont="1" applyFill="1" applyBorder="1" applyAlignment="1">
      <alignment horizontal="center" vertical="center" wrapText="1"/>
    </xf>
    <xf numFmtId="49" fontId="10" fillId="3" borderId="62" xfId="0" applyNumberFormat="1" applyFont="1" applyFill="1" applyBorder="1" applyAlignment="1">
      <alignment horizontal="center" vertical="center" wrapText="1"/>
    </xf>
    <xf numFmtId="180" fontId="10" fillId="3" borderId="1" xfId="0" applyNumberFormat="1" applyFont="1" applyFill="1" applyBorder="1" applyAlignment="1">
      <alignment horizontal="center" vertical="center" wrapText="1"/>
    </xf>
    <xf numFmtId="180" fontId="10" fillId="3" borderId="45" xfId="0" applyNumberFormat="1" applyFont="1" applyFill="1" applyBorder="1" applyAlignment="1">
      <alignment horizontal="center" vertical="center" wrapText="1"/>
    </xf>
    <xf numFmtId="179" fontId="10" fillId="3" borderId="1" xfId="0" applyNumberFormat="1" applyFont="1" applyFill="1" applyBorder="1" applyAlignment="1">
      <alignment horizontal="center" vertical="center" wrapText="1"/>
    </xf>
    <xf numFmtId="179" fontId="10" fillId="3" borderId="45" xfId="0" applyNumberFormat="1" applyFont="1" applyFill="1" applyBorder="1" applyAlignment="1">
      <alignment horizontal="center" vertical="center" wrapText="1"/>
    </xf>
    <xf numFmtId="0" fontId="18" fillId="6" borderId="47" xfId="0" applyFont="1" applyFill="1" applyBorder="1" applyAlignment="1">
      <alignment horizontal="center" vertical="center" wrapText="1"/>
    </xf>
    <xf numFmtId="0" fontId="18" fillId="6" borderId="48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45" xfId="0" applyFont="1" applyFill="1" applyBorder="1" applyAlignment="1">
      <alignment horizontal="center" vertical="center" wrapText="1"/>
    </xf>
    <xf numFmtId="179" fontId="18" fillId="3" borderId="1" xfId="0" applyNumberFormat="1" applyFont="1" applyFill="1" applyBorder="1" applyAlignment="1">
      <alignment horizontal="center" vertical="center" wrapText="1"/>
    </xf>
    <xf numFmtId="179" fontId="18" fillId="3" borderId="45" xfId="0" applyNumberFormat="1" applyFont="1" applyFill="1" applyBorder="1" applyAlignment="1">
      <alignment horizontal="center" vertical="center" wrapText="1"/>
    </xf>
    <xf numFmtId="180" fontId="18" fillId="3" borderId="1" xfId="0" applyNumberFormat="1" applyFont="1" applyFill="1" applyBorder="1" applyAlignment="1">
      <alignment horizontal="center" vertical="center" wrapText="1"/>
    </xf>
    <xf numFmtId="180" fontId="18" fillId="3" borderId="45" xfId="0" applyNumberFormat="1" applyFont="1" applyFill="1" applyBorder="1" applyAlignment="1">
      <alignment horizontal="center" vertical="center" wrapText="1"/>
    </xf>
    <xf numFmtId="49" fontId="18" fillId="3" borderId="43" xfId="0" applyNumberFormat="1" applyFont="1" applyFill="1" applyBorder="1" applyAlignment="1">
      <alignment horizontal="center" vertical="center" wrapText="1"/>
    </xf>
    <xf numFmtId="49" fontId="18" fillId="3" borderId="62" xfId="0" applyNumberFormat="1" applyFont="1" applyFill="1" applyBorder="1" applyAlignment="1">
      <alignment horizontal="center" vertical="center" wrapText="1"/>
    </xf>
    <xf numFmtId="0" fontId="21" fillId="2" borderId="44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21" fillId="2" borderId="46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8" fillId="3" borderId="45" xfId="0" applyFont="1" applyFill="1" applyBorder="1" applyAlignment="1">
      <alignment horizontal="center" vertical="center"/>
    </xf>
    <xf numFmtId="178" fontId="18" fillId="3" borderId="1" xfId="0" applyNumberFormat="1" applyFont="1" applyFill="1" applyBorder="1" applyAlignment="1">
      <alignment horizontal="center" vertical="center" wrapText="1"/>
    </xf>
    <xf numFmtId="178" fontId="18" fillId="3" borderId="45" xfId="0" applyNumberFormat="1" applyFont="1" applyFill="1" applyBorder="1" applyAlignment="1">
      <alignment horizontal="center" vertical="center" wrapText="1"/>
    </xf>
    <xf numFmtId="0" fontId="34" fillId="0" borderId="51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 vertical="center"/>
    </xf>
    <xf numFmtId="0" fontId="21" fillId="2" borderId="44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45" xfId="0" applyFont="1" applyFill="1" applyBorder="1" applyAlignment="1">
      <alignment horizontal="center" vertical="center" wrapText="1"/>
    </xf>
    <xf numFmtId="9" fontId="18" fillId="3" borderId="1" xfId="0" applyNumberFormat="1" applyFont="1" applyFill="1" applyBorder="1" applyAlignment="1">
      <alignment horizontal="center" vertical="center" wrapText="1"/>
    </xf>
    <xf numFmtId="9" fontId="18" fillId="3" borderId="45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8" fillId="3" borderId="1" xfId="0" applyFont="1" applyFill="1" applyBorder="1" applyAlignment="1">
      <alignment horizontal="left" vertical="top" wrapText="1"/>
    </xf>
    <xf numFmtId="0" fontId="21" fillId="2" borderId="81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0" borderId="60" xfId="0" applyFont="1" applyBorder="1" applyAlignment="1">
      <alignment horizontal="left" vertical="top" wrapText="1"/>
    </xf>
    <xf numFmtId="0" fontId="29" fillId="2" borderId="52" xfId="0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 wrapText="1"/>
    </xf>
    <xf numFmtId="0" fontId="34" fillId="0" borderId="67" xfId="0" applyFont="1" applyBorder="1" applyAlignment="1">
      <alignment horizontal="center" vertical="center"/>
    </xf>
    <xf numFmtId="0" fontId="34" fillId="0" borderId="68" xfId="0" applyFont="1" applyBorder="1" applyAlignment="1">
      <alignment horizontal="center" vertical="center"/>
    </xf>
    <xf numFmtId="0" fontId="21" fillId="2" borderId="46" xfId="0" applyFont="1" applyFill="1" applyBorder="1" applyAlignment="1">
      <alignment horizontal="center" vertical="center"/>
    </xf>
    <xf numFmtId="49" fontId="18" fillId="3" borderId="58" xfId="0" applyNumberFormat="1" applyFont="1" applyFill="1" applyBorder="1" applyAlignment="1">
      <alignment horizontal="center" vertical="center"/>
    </xf>
    <xf numFmtId="49" fontId="18" fillId="3" borderId="5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textRotation="255" wrapText="1"/>
    </xf>
    <xf numFmtId="0" fontId="3" fillId="0" borderId="19" xfId="0" applyFont="1" applyBorder="1" applyAlignment="1">
      <alignment horizontal="center" vertical="center" textRotation="255" wrapText="1"/>
    </xf>
    <xf numFmtId="0" fontId="3" fillId="0" borderId="18" xfId="0" applyFont="1" applyBorder="1" applyAlignment="1">
      <alignment horizontal="center" vertical="center" textRotation="255" wrapText="1"/>
    </xf>
    <xf numFmtId="0" fontId="3" fillId="0" borderId="20" xfId="0" applyFont="1" applyBorder="1" applyAlignment="1">
      <alignment horizontal="center" vertical="center" textRotation="255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47" xfId="0" applyFont="1" applyFill="1" applyBorder="1" applyAlignment="1">
      <alignment horizontal="center" vertical="center" wrapText="1"/>
    </xf>
    <xf numFmtId="0" fontId="21" fillId="2" borderId="51" xfId="0" applyFont="1" applyFill="1" applyBorder="1" applyAlignment="1">
      <alignment horizontal="center" vertical="center" wrapText="1"/>
    </xf>
    <xf numFmtId="0" fontId="21" fillId="2" borderId="52" xfId="0" applyFont="1" applyFill="1" applyBorder="1" applyAlignment="1">
      <alignment horizontal="center" vertical="center" wrapText="1"/>
    </xf>
    <xf numFmtId="0" fontId="21" fillId="2" borderId="67" xfId="0" applyFont="1" applyFill="1" applyBorder="1" applyAlignment="1">
      <alignment horizontal="center" vertical="center" wrapText="1"/>
    </xf>
    <xf numFmtId="0" fontId="21" fillId="2" borderId="68" xfId="0" applyFont="1" applyFill="1" applyBorder="1" applyAlignment="1">
      <alignment horizontal="center" vertical="center" wrapText="1"/>
    </xf>
    <xf numFmtId="0" fontId="21" fillId="2" borderId="55" xfId="0" applyFont="1" applyFill="1" applyBorder="1" applyAlignment="1">
      <alignment horizontal="center" vertical="center"/>
    </xf>
    <xf numFmtId="0" fontId="32" fillId="0" borderId="64" xfId="0" applyFont="1" applyBorder="1" applyAlignment="1">
      <alignment horizontal="center" vertical="center"/>
    </xf>
    <xf numFmtId="0" fontId="32" fillId="0" borderId="65" xfId="0" applyFont="1" applyBorder="1" applyAlignment="1">
      <alignment horizontal="center" vertical="center"/>
    </xf>
    <xf numFmtId="0" fontId="32" fillId="0" borderId="66" xfId="0" applyFont="1" applyBorder="1" applyAlignment="1">
      <alignment horizontal="center" vertical="center"/>
    </xf>
    <xf numFmtId="0" fontId="18" fillId="3" borderId="52" xfId="0" applyFont="1" applyFill="1" applyBorder="1" applyAlignment="1">
      <alignment horizontal="center" vertical="center"/>
    </xf>
    <xf numFmtId="0" fontId="18" fillId="3" borderId="53" xfId="0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180" fontId="10" fillId="3" borderId="45" xfId="0" applyNumberFormat="1" applyFont="1" applyFill="1" applyBorder="1" applyAlignment="1">
      <alignment horizontal="center" vertical="center"/>
    </xf>
    <xf numFmtId="9" fontId="10" fillId="3" borderId="47" xfId="0" applyNumberFormat="1" applyFont="1" applyFill="1" applyBorder="1" applyAlignment="1">
      <alignment horizontal="center" vertical="center"/>
    </xf>
    <xf numFmtId="9" fontId="10" fillId="3" borderId="48" xfId="0" applyNumberFormat="1" applyFont="1" applyFill="1" applyBorder="1" applyAlignment="1">
      <alignment horizontal="center" vertical="center"/>
    </xf>
    <xf numFmtId="0" fontId="14" fillId="0" borderId="60" xfId="0" applyFont="1" applyBorder="1" applyAlignment="1">
      <alignment horizontal="left" vertical="center"/>
    </xf>
    <xf numFmtId="0" fontId="15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CC66FF"/>
      <color rgb="FFFF99CC"/>
      <color rgb="FFFF9966"/>
      <color rgb="FFFFFF66"/>
      <color rgb="FFFFFDCB"/>
      <color rgb="FF3333FF"/>
      <color rgb="FF35B2AC"/>
      <color rgb="FFFFF387"/>
      <color rgb="FFE3A73A"/>
      <color rgb="FFEB62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20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用電統計分析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1355485831440355"/>
          <c:y val="7.7228907762513899E-2"/>
          <c:w val="0.78811707227685157"/>
          <c:h val="0.72081413441227893"/>
        </c:manualLayout>
      </c:layout>
      <c:barChart>
        <c:barDir val="col"/>
        <c:grouping val="stacked"/>
        <c:varyColors val="0"/>
        <c:ser>
          <c:idx val="7"/>
          <c:order val="6"/>
          <c:tx>
            <c:strRef>
              <c:f>'表P｜用電統計'!$I$7</c:f>
              <c:strCache>
                <c:ptCount val="1"/>
                <c:pt idx="0">
                  <c:v>尖峰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'表P｜用電統計'!$B$7:$B$19</c15:sqref>
                  </c15:fullRef>
                </c:ext>
              </c:extLst>
              <c:f>'表P｜用電統計'!$B$8:$B$19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'表P｜用電統計'!$I$7:$I$19</c15:sqref>
                  </c15:fullRef>
                </c:ext>
              </c:extLst>
              <c:f>'表P｜用電統計'!$I$8:$I$19</c:f>
              <c:numCache>
                <c:formatCode>#,##0_ 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0990-4C1F-8DA5-443F470FEB88}"/>
            </c:ext>
          </c:extLst>
        </c:ser>
        <c:ser>
          <c:idx val="8"/>
          <c:order val="7"/>
          <c:tx>
            <c:strRef>
              <c:f>'表P｜用電統計'!$J$7</c:f>
              <c:strCache>
                <c:ptCount val="1"/>
                <c:pt idx="0">
                  <c:v>半尖峰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'表P｜用電統計'!$B$7:$B$19</c15:sqref>
                  </c15:fullRef>
                </c:ext>
              </c:extLst>
              <c:f>'表P｜用電統計'!$B$8:$B$19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'表P｜用電統計'!$J$7:$J$19</c15:sqref>
                  </c15:fullRef>
                </c:ext>
              </c:extLst>
              <c:f>'表P｜用電統計'!$J$8:$J$19</c:f>
              <c:numCache>
                <c:formatCode>#,##0_ 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0990-4C1F-8DA5-443F470FEB88}"/>
            </c:ext>
          </c:extLst>
        </c:ser>
        <c:ser>
          <c:idx val="9"/>
          <c:order val="8"/>
          <c:tx>
            <c:strRef>
              <c:f>'表P｜用電統計'!$K$7</c:f>
              <c:strCache>
                <c:ptCount val="1"/>
                <c:pt idx="0">
                  <c:v>週六半尖峰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'表P｜用電統計'!$B$7:$B$19</c15:sqref>
                  </c15:fullRef>
                </c:ext>
              </c:extLst>
              <c:f>'表P｜用電統計'!$B$8:$B$19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'表P｜用電統計'!$K$7:$K$19</c15:sqref>
                  </c15:fullRef>
                </c:ext>
              </c:extLst>
              <c:f>'表P｜用電統計'!$K$8:$K$19</c:f>
              <c:numCache>
                <c:formatCode>#,##0_ 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990-4C1F-8DA5-443F470FEB88}"/>
            </c:ext>
          </c:extLst>
        </c:ser>
        <c:ser>
          <c:idx val="10"/>
          <c:order val="9"/>
          <c:tx>
            <c:strRef>
              <c:f>'表P｜用電統計'!$L$7</c:f>
              <c:strCache>
                <c:ptCount val="1"/>
                <c:pt idx="0">
                  <c:v>離峰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'表P｜用電統計'!$B$7:$B$19</c15:sqref>
                  </c15:fullRef>
                </c:ext>
              </c:extLst>
              <c:f>'表P｜用電統計'!$B$8:$B$19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'表P｜用電統計'!$L$7:$L$19</c15:sqref>
                  </c15:fullRef>
                </c:ext>
              </c:extLst>
              <c:f>'表P｜用電統計'!$L$8:$L$19</c:f>
              <c:numCache>
                <c:formatCode>#,##0_ 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0990-4C1F-8DA5-443F470FE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6315359"/>
        <c:axId val="576513855"/>
      </c:barChart>
      <c:lineChart>
        <c:grouping val="standard"/>
        <c:varyColors val="0"/>
        <c:ser>
          <c:idx val="17"/>
          <c:order val="16"/>
          <c:tx>
            <c:strRef>
              <c:f>'表P｜用電統計'!$T$6</c:f>
              <c:strCache>
                <c:ptCount val="1"/>
                <c:pt idx="0">
                  <c:v>建議調整後契約容量</c:v>
                </c:pt>
              </c:strCache>
            </c:strRef>
          </c:tx>
          <c:spPr>
            <a:ln w="28575" cap="rnd">
              <a:solidFill>
                <a:srgbClr val="35B2AC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'表P｜用電統計'!$B$7:$B$19</c15:sqref>
                  </c15:fullRef>
                </c:ext>
              </c:extLst>
              <c:f>'表P｜用電統計'!$B$8:$B$19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'表P｜用電統計'!$T$7:$T$19</c15:sqref>
                  </c15:fullRef>
                </c:ext>
              </c:extLst>
              <c:f>'表P｜用電統計'!$T$8:$T$19</c:f>
              <c:numCache>
                <c:formatCode>#,##0_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90-4C1F-8DA5-443F470FEB88}"/>
            </c:ext>
          </c:extLst>
        </c:ser>
        <c:ser>
          <c:idx val="0"/>
          <c:order val="0"/>
          <c:tx>
            <c:strRef>
              <c:f>'表P｜用電統計'!$C$6</c:f>
              <c:strCache>
                <c:ptCount val="1"/>
                <c:pt idx="0">
                  <c:v>經常契約容量*
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'表P｜用電統計'!$B$7:$B$19</c15:sqref>
                  </c15:fullRef>
                </c:ext>
              </c:extLst>
              <c:f>'表P｜用電統計'!$B$8:$B$19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'表P｜用電統計'!$C$7:$C$19</c15:sqref>
                  </c15:fullRef>
                </c:ext>
              </c:extLst>
              <c:f>'表P｜用電統計'!$C$8:$C$19</c:f>
              <c:numCache>
                <c:formatCode>#,##0_ 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06-0F44-BB04-1F65873C9F23}"/>
            </c:ext>
          </c:extLst>
        </c:ser>
        <c:ser>
          <c:idx val="5"/>
          <c:order val="5"/>
          <c:tx>
            <c:strRef>
              <c:f>'表P｜用電統計'!$H$7</c:f>
              <c:strCache>
                <c:ptCount val="1"/>
                <c:pt idx="0">
                  <c:v>最高需量</c:v>
                </c:pt>
              </c:strCache>
            </c:strRef>
          </c:tx>
          <c:spPr>
            <a:ln w="28575" cap="sq">
              <a:solidFill>
                <a:schemeClr val="accent5"/>
              </a:solidFill>
              <a:bevel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'表P｜用電統計'!$B$7:$B$19</c15:sqref>
                  </c15:fullRef>
                </c:ext>
              </c:extLst>
              <c:f>'表P｜用電統計'!$B$8:$B$19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'表P｜用電統計'!$H$7:$H$19</c15:sqref>
                  </c15:fullRef>
                </c:ext>
              </c:extLst>
              <c:f>'表P｜用電統計'!$H$8:$H$19</c:f>
              <c:numCache>
                <c:formatCode>#,##0_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06-0F44-BB04-1F65873C9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5329295"/>
        <c:axId val="91532641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'表P｜用電統計'!$D$7</c15:sqref>
                        </c15:formulaRef>
                      </c:ext>
                    </c:extLst>
                    <c:strCache>
                      <c:ptCount val="1"/>
                      <c:pt idx="0">
                        <c:v>尖峰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'表P｜用電統計'!$B$7:$B$19</c15:sqref>
                        </c15:fullRef>
                        <c15:formulaRef>
                          <c15:sqref>'表P｜用電統計'!$B$8:$B$19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'表P｜用電統計'!$D$7:$D$19</c15:sqref>
                        </c15:fullRef>
                        <c15:formulaRef>
                          <c15:sqref>'表P｜用電統計'!$D$8:$D$19</c15:sqref>
                        </c15:formulaRef>
                      </c:ext>
                    </c:extLst>
                    <c:numCache>
                      <c:formatCode>#,##0_ </c:formatCode>
                      <c:ptCount val="12"/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1-9406-0F44-BB04-1F65873C9F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'表P｜用電統計'!$E$7</c15:sqref>
                        </c15:formulaRef>
                      </c:ext>
                    </c:extLst>
                    <c:strCache>
                      <c:ptCount val="1"/>
                      <c:pt idx="0">
                        <c:v>半尖峰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'表P｜用電統計'!$B$7:$B$19</c15:sqref>
                        </c15:fullRef>
                        <c15:formulaRef>
                          <c15:sqref>'表P｜用電統計'!$B$8:$B$19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'表P｜用電統計'!$E$7:$E$19</c15:sqref>
                        </c15:fullRef>
                        <c15:formulaRef>
                          <c15:sqref>'表P｜用電統計'!$E$8:$E$19</c15:sqref>
                        </c15:formulaRef>
                      </c:ext>
                    </c:extLst>
                    <c:numCache>
                      <c:formatCode>#,##0_ 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06-0F44-BB04-1F65873C9F2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'表P｜用電統計'!$F$7</c15:sqref>
                        </c15:formulaRef>
                      </c:ext>
                    </c:extLst>
                    <c:strCache>
                      <c:ptCount val="1"/>
                      <c:pt idx="0">
                        <c:v>週六半尖峰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'表P｜用電統計'!$B$7:$B$19</c15:sqref>
                        </c15:fullRef>
                        <c15:formulaRef>
                          <c15:sqref>'表P｜用電統計'!$B$8:$B$19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'表P｜用電統計'!$F$7:$F$19</c15:sqref>
                        </c15:fullRef>
                        <c15:formulaRef>
                          <c15:sqref>'表P｜用電統計'!$F$8:$F$19</c15:sqref>
                        </c15:formulaRef>
                      </c:ext>
                    </c:extLst>
                    <c:numCache>
                      <c:formatCode>#,##0_ 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06-0F44-BB04-1F65873C9F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'表P｜用電統計'!$G$7</c15:sqref>
                        </c15:formulaRef>
                      </c:ext>
                    </c:extLst>
                    <c:strCache>
                      <c:ptCount val="1"/>
                      <c:pt idx="0">
                        <c:v>離峰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'表P｜用電統計'!$B$7:$B$19</c15:sqref>
                        </c15:fullRef>
                        <c15:formulaRef>
                          <c15:sqref>'表P｜用電統計'!$B$8:$B$19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'表P｜用電統計'!$G$7:$G$19</c15:sqref>
                        </c15:fullRef>
                        <c15:formulaRef>
                          <c15:sqref>'表P｜用電統計'!$G$8:$G$19</c15:sqref>
                        </c15:formulaRef>
                      </c:ext>
                    </c:extLst>
                    <c:numCache>
                      <c:formatCode>#,##0_ 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06-0F44-BB04-1F65873C9F23}"/>
                  </c:ext>
                </c:extLst>
              </c15:ser>
            </c15:filteredLineSeries>
            <c15:filteredLineSeries>
              <c15:ser>
                <c:idx val="11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'表P｜用電統計'!$N$7</c15:sqref>
                        </c15:formulaRef>
                      </c:ext>
                    </c:extLst>
                    <c:strCache>
                      <c:ptCount val="1"/>
                      <c:pt idx="0">
                        <c:v>尖峰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'表P｜用電統計'!$B$7:$B$19</c15:sqref>
                        </c15:fullRef>
                        <c15:formulaRef>
                          <c15:sqref>'表P｜用電統計'!$B$8:$B$19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'表P｜用電統計'!$N$7:$N$19</c15:sqref>
                        </c15:fullRef>
                        <c15:formulaRef>
                          <c15:sqref>'表P｜用電統計'!$N$8:$N$19</c15:sqref>
                        </c15:formulaRef>
                      </c:ext>
                    </c:extLst>
                    <c:numCache>
                      <c:formatCode>#,##0_ 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90-4C1F-8DA5-443F470FEB88}"/>
                  </c:ext>
                </c:extLst>
              </c15:ser>
            </c15:filteredLineSeries>
            <c15:filteredLineSeries>
              <c15:ser>
                <c:idx val="12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'表P｜用電統計'!$O$7</c15:sqref>
                        </c15:formulaRef>
                      </c:ext>
                    </c:extLst>
                    <c:strCache>
                      <c:ptCount val="1"/>
                      <c:pt idx="0">
                        <c:v>半尖峰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'表P｜用電統計'!$B$7:$B$19</c15:sqref>
                        </c15:fullRef>
                        <c15:formulaRef>
                          <c15:sqref>'表P｜用電統計'!$B$8:$B$19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'表P｜用電統計'!$O$7:$O$19</c15:sqref>
                        </c15:fullRef>
                        <c15:formulaRef>
                          <c15:sqref>'表P｜用電統計'!$O$8:$O$19</c15:sqref>
                        </c15:formulaRef>
                      </c:ext>
                    </c:extLst>
                    <c:numCache>
                      <c:formatCode>#,##0_ 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90-4C1F-8DA5-443F470FEB88}"/>
                  </c:ext>
                </c:extLst>
              </c15:ser>
            </c15:filteredLineSeries>
            <c15:filteredLineSeries>
              <c15:ser>
                <c:idx val="13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'表P｜用電統計'!$P$7</c15:sqref>
                        </c15:formulaRef>
                      </c:ext>
                    </c:extLst>
                    <c:strCache>
                      <c:ptCount val="1"/>
                      <c:pt idx="0">
                        <c:v>週六半尖峰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'表P｜用電統計'!$B$7:$B$19</c15:sqref>
                        </c15:fullRef>
                        <c15:formulaRef>
                          <c15:sqref>'表P｜用電統計'!$B$8:$B$19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'表P｜用電統計'!$P$7:$P$19</c15:sqref>
                        </c15:fullRef>
                        <c15:formulaRef>
                          <c15:sqref>'表P｜用電統計'!$P$8:$P$19</c15:sqref>
                        </c15:formulaRef>
                      </c:ext>
                    </c:extLst>
                    <c:numCache>
                      <c:formatCode>#,##0_ 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990-4C1F-8DA5-443F470FEB88}"/>
                  </c:ext>
                </c:extLst>
              </c15:ser>
            </c15:filteredLineSeries>
            <c15:filteredLineSeries>
              <c15:ser>
                <c:idx val="14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'表P｜用電統計'!$Q$7</c15:sqref>
                        </c15:formulaRef>
                      </c:ext>
                    </c:extLst>
                    <c:strCache>
                      <c:ptCount val="1"/>
                      <c:pt idx="0">
                        <c:v>離峰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'表P｜用電統計'!$B$7:$B$19</c15:sqref>
                        </c15:fullRef>
                        <c15:formulaRef>
                          <c15:sqref>'表P｜用電統計'!$B$8:$B$19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'表P｜用電統計'!$Q$7:$Q$19</c15:sqref>
                        </c15:fullRef>
                        <c15:formulaRef>
                          <c15:sqref>'表P｜用電統計'!$Q$8:$Q$19</c15:sqref>
                        </c15:formulaRef>
                      </c:ext>
                    </c:extLst>
                    <c:numCache>
                      <c:formatCode>#,##0_ 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990-4C1F-8DA5-443F470FEB88}"/>
                  </c:ext>
                </c:extLst>
              </c15:ser>
            </c15:filteredLineSeries>
            <c15:filteredLineSeries>
              <c15:ser>
                <c:idx val="15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'表P｜用電統計'!$R$6</c15:sqref>
                        </c15:formulaRef>
                      </c:ext>
                    </c:extLst>
                    <c:strCache>
                      <c:ptCount val="1"/>
                      <c:pt idx="0">
                        <c:v>用電度數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'表P｜用電統計'!$B$7:$B$19</c15:sqref>
                        </c15:fullRef>
                        <c15:formulaRef>
                          <c15:sqref>'表P｜用電統計'!$B$8:$B$19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'表P｜用電統計'!$R$7:$R$19</c15:sqref>
                        </c15:fullRef>
                        <c15:formulaRef>
                          <c15:sqref>'表P｜用電統計'!$R$8:$R$19</c15:sqref>
                        </c15:formulaRef>
                      </c:ext>
                    </c:extLst>
                    <c:numCache>
                      <c:formatCode>#,##0_ 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990-4C1F-8DA5-443F470FEB88}"/>
                  </c:ext>
                </c:extLst>
              </c15:ser>
            </c15:filteredLineSeries>
            <c15:filteredLineSeries>
              <c15:ser>
                <c:idx val="16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'表P｜用電統計'!$S$6</c15:sqref>
                        </c15:formulaRef>
                      </c:ext>
                    </c:extLst>
                    <c:strCache>
                      <c:ptCount val="1"/>
                      <c:pt idx="0">
                        <c:v>總電費*
( 含稅-元 )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'表P｜用電統計'!$B$7:$B$19</c15:sqref>
                        </c15:fullRef>
                        <c15:formulaRef>
                          <c15:sqref>'表P｜用電統計'!$B$8:$B$19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'表P｜用電統計'!$S$7:$S$19</c15:sqref>
                        </c15:fullRef>
                        <c15:formulaRef>
                          <c15:sqref>'表P｜用電統計'!$S$8:$S$19</c15:sqref>
                        </c15:formulaRef>
                      </c:ext>
                    </c:extLst>
                    <c:numCache>
                      <c:formatCode>#,##0_ </c:formatCode>
                      <c:ptCount val="12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990-4C1F-8DA5-443F470FEB88}"/>
                  </c:ext>
                </c:extLst>
              </c15:ser>
            </c15:filteredLineSeries>
          </c:ext>
        </c:extLst>
      </c:lineChart>
      <c:valAx>
        <c:axId val="915326415"/>
        <c:scaling>
          <c:orientation val="minMax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5329295"/>
        <c:crosses val="max"/>
        <c:crossBetween val="between"/>
      </c:valAx>
      <c:catAx>
        <c:axId val="915329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15326415"/>
        <c:crosses val="autoZero"/>
        <c:auto val="1"/>
        <c:lblAlgn val="ctr"/>
        <c:lblOffset val="100"/>
        <c:noMultiLvlLbl val="0"/>
      </c:catAx>
      <c:valAx>
        <c:axId val="576513855"/>
        <c:scaling>
          <c:orientation val="minMax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6315359"/>
        <c:crosses val="autoZero"/>
        <c:crossBetween val="between"/>
      </c:valAx>
      <c:catAx>
        <c:axId val="10263153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65138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0522941599323861E-2"/>
          <c:y val="0.87420745398235133"/>
          <c:w val="0.97763150275653588"/>
          <c:h val="0.10906277549368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sz="2000" b="1"/>
              <a:t>時間用電佔比 </a:t>
            </a:r>
            <a:r>
              <a:rPr lang="en-US" sz="2000" b="1"/>
              <a:t>(%)</a:t>
            </a:r>
          </a:p>
        </c:rich>
      </c:tx>
      <c:layout>
        <c:manualLayout>
          <c:xMode val="edge"/>
          <c:yMode val="edge"/>
          <c:x val="0.24833927139700504"/>
          <c:y val="2.85040196747060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'表P｜用電統計'!$B$5</c:f>
              <c:strCache>
                <c:ptCount val="1"/>
                <c:pt idx="0">
                  <c:v>用電佔比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1-A21D-400D-9BAC-DFA54FD93FE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3-4FC5-4DA1-AACA-AA23141D61D6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5-4FC5-4DA1-AACA-AA23141D61D6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7-A21D-400D-9BAC-DFA54FD93F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'表P｜用電統計'!$C$4:$F$4</c:f>
              <c:strCache>
                <c:ptCount val="4"/>
                <c:pt idx="0">
                  <c:v>尖峰</c:v>
                </c:pt>
                <c:pt idx="1">
                  <c:v>半尖峰</c:v>
                </c:pt>
                <c:pt idx="2">
                  <c:v>週六半尖峰</c:v>
                </c:pt>
                <c:pt idx="3">
                  <c:v>離峰</c:v>
                </c:pt>
              </c:strCache>
            </c:strRef>
          </c:cat>
          <c:val>
            <c:numRef>
              <c:f>'表P｜用電統計'!$C$5:$F$5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21D-400D-9BAC-DFA54FD93FE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62"/>
        <c:extLst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0531212380743"/>
          <c:y val="0.39301283402566806"/>
          <c:w val="0.16777260095357679"/>
          <c:h val="0.230071026835931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400" b="1">
                <a:latin typeface="微軟正黑體" panose="020B0604030504040204" pitchFamily="34" charset="-120"/>
                <a:ea typeface="微軟正黑體" panose="020B0604030504040204" pitchFamily="34" charset="-120"/>
              </a:rPr>
              <a:t>能源流向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CF-4B2C-B29D-AD13FF543AF1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FCF-4B2C-B29D-AD13FF543AF1}"/>
              </c:ext>
            </c:extLst>
          </c:dPt>
          <c:dPt>
            <c:idx val="2"/>
            <c:bubble3D val="0"/>
            <c:spPr>
              <a:solidFill>
                <a:srgbClr val="FFFF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CF-4B2C-B29D-AD13FF543AF1}"/>
              </c:ext>
            </c:extLst>
          </c:dPt>
          <c:dPt>
            <c:idx val="3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FCF-4B2C-B29D-AD13FF543AF1}"/>
              </c:ext>
            </c:extLst>
          </c:dPt>
          <c:dPt>
            <c:idx val="4"/>
            <c:bubble3D val="0"/>
            <c:spPr>
              <a:solidFill>
                <a:srgbClr val="FF99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CF-4B2C-B29D-AD13FF543AF1}"/>
              </c:ext>
            </c:extLst>
          </c:dPt>
          <c:dPt>
            <c:idx val="5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FCF-4B2C-B29D-AD13FF543AF1}"/>
              </c:ext>
            </c:extLst>
          </c:dPt>
          <c:dPt>
            <c:idx val="6"/>
            <c:bubble3D val="0"/>
            <c:spPr>
              <a:solidFill>
                <a:srgbClr val="CC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CF-4B2C-B29D-AD13FF543AF1}"/>
              </c:ext>
            </c:extLst>
          </c:dPt>
          <c:dPt>
            <c:idx val="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FCF-4B2C-B29D-AD13FF543AF1}"/>
              </c:ext>
            </c:extLst>
          </c:dPt>
          <c:cat>
            <c:strRef>
              <c:f>'表E｜能源設備盤查'!$D$2:$K$2</c:f>
              <c:strCache>
                <c:ptCount val="8"/>
                <c:pt idx="0">
                  <c:v>中央空調</c:v>
                </c:pt>
                <c:pt idx="1">
                  <c:v>一般空調</c:v>
                </c:pt>
                <c:pt idx="2">
                  <c:v>照明</c:v>
                </c:pt>
                <c:pt idx="3">
                  <c:v>冷凍冷藏</c:v>
                </c:pt>
                <c:pt idx="4">
                  <c:v>熱能</c:v>
                </c:pt>
                <c:pt idx="5">
                  <c:v>風機</c:v>
                </c:pt>
                <c:pt idx="6">
                  <c:v>電能</c:v>
                </c:pt>
                <c:pt idx="7">
                  <c:v>其他</c:v>
                </c:pt>
              </c:strCache>
            </c:strRef>
          </c:cat>
          <c:val>
            <c:numRef>
              <c:f>'表E｜能源設備盤查'!$D$3:$K$3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F-4B2C-B29D-AD13FF543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45604</xdr:colOff>
      <xdr:row>21</xdr:row>
      <xdr:rowOff>19484</xdr:rowOff>
    </xdr:from>
    <xdr:to>
      <xdr:col>15</xdr:col>
      <xdr:colOff>874535</xdr:colOff>
      <xdr:row>52</xdr:row>
      <xdr:rowOff>141866</xdr:rowOff>
    </xdr:to>
    <xdr:grpSp>
      <xdr:nvGrpSpPr>
        <xdr:cNvPr id="3" name="群組 2">
          <a:extLst>
            <a:ext uri="{FF2B5EF4-FFF2-40B4-BE49-F238E27FC236}">
              <a16:creationId xmlns:a16="http://schemas.microsoft.com/office/drawing/2014/main" id="{F4BD2090-4D77-BEAC-FFD4-2FFF05E8F675}"/>
            </a:ext>
          </a:extLst>
        </xdr:cNvPr>
        <xdr:cNvGrpSpPr/>
      </xdr:nvGrpSpPr>
      <xdr:grpSpPr>
        <a:xfrm>
          <a:off x="1487428" y="6825190"/>
          <a:ext cx="15157519" cy="6151147"/>
          <a:chOff x="8202000" y="7381688"/>
          <a:chExt cx="12978946" cy="7936468"/>
        </a:xfrm>
      </xdr:grpSpPr>
      <xdr:graphicFrame macro="">
        <xdr:nvGraphicFramePr>
          <xdr:cNvPr id="2" name="圖表 1">
            <a:extLst>
              <a:ext uri="{FF2B5EF4-FFF2-40B4-BE49-F238E27FC236}">
                <a16:creationId xmlns:a16="http://schemas.microsoft.com/office/drawing/2014/main" id="{250A6145-F1B4-EF4B-87F1-45553773DC28}"/>
              </a:ext>
            </a:extLst>
          </xdr:cNvPr>
          <xdr:cNvGraphicFramePr/>
        </xdr:nvGraphicFramePr>
        <xdr:xfrm>
          <a:off x="8202000" y="7381688"/>
          <a:ext cx="12978946" cy="79364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" name="文字方塊 1">
            <a:extLst>
              <a:ext uri="{FF2B5EF4-FFF2-40B4-BE49-F238E27FC236}">
                <a16:creationId xmlns:a16="http://schemas.microsoft.com/office/drawing/2014/main" id="{517AE18A-7EA2-8548-1630-16CC85DB63F3}"/>
              </a:ext>
            </a:extLst>
          </xdr:cNvPr>
          <xdr:cNvSpPr txBox="1"/>
        </xdr:nvSpPr>
        <xdr:spPr>
          <a:xfrm rot="5400000">
            <a:off x="18978568" y="10649911"/>
            <a:ext cx="3525476" cy="384088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TW" altLang="en-US" sz="1800" b="1">
                <a:solidFill>
                  <a:schemeClr val="tx1">
                    <a:lumMod val="75000"/>
                    <a:lumOff val="2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最高需量</a:t>
            </a:r>
            <a:r>
              <a:rPr lang="en-US" altLang="zh-TW" sz="1800" b="1">
                <a:solidFill>
                  <a:schemeClr val="tx1">
                    <a:lumMod val="75000"/>
                    <a:lumOff val="2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/</a:t>
            </a:r>
            <a:r>
              <a:rPr lang="zh-TW" altLang="en-US" sz="1800" b="1">
                <a:solidFill>
                  <a:schemeClr val="tx1">
                    <a:lumMod val="75000"/>
                    <a:lumOff val="2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契約容量</a:t>
            </a:r>
            <a:r>
              <a:rPr lang="en-US" altLang="zh-TW" sz="1800" b="1">
                <a:solidFill>
                  <a:schemeClr val="tx1">
                    <a:lumMod val="75000"/>
                    <a:lumOff val="2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(kW)</a:t>
            </a:r>
            <a:endParaRPr lang="zh-TW" altLang="en-US" sz="1800" b="1" kern="1200">
              <a:solidFill>
                <a:schemeClr val="tx1">
                  <a:lumMod val="75000"/>
                  <a:lumOff val="2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xdr:txBody>
      </xdr:sp>
    </xdr:grpSp>
    <xdr:clientData/>
  </xdr:twoCellAnchor>
  <xdr:twoCellAnchor>
    <xdr:from>
      <xdr:col>16</xdr:col>
      <xdr:colOff>158749</xdr:colOff>
      <xdr:row>21</xdr:row>
      <xdr:rowOff>17175</xdr:rowOff>
    </xdr:from>
    <xdr:to>
      <xdr:col>27</xdr:col>
      <xdr:colOff>635180</xdr:colOff>
      <xdr:row>52</xdr:row>
      <xdr:rowOff>144175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5362D6-A877-4859-A351-3442323D0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0.00796</cdr:x>
      <cdr:y>0.28882</cdr:y>
    </cdr:from>
    <cdr:to>
      <cdr:x>0.03684</cdr:x>
      <cdr:y>0.56443</cdr:y>
    </cdr:to>
    <cdr:sp macro="" textlink="">
      <cdr:nvSpPr>
        <cdr:cNvPr id="2" name="文字方塊 1">
          <a:extLst xmlns:a="http://schemas.openxmlformats.org/drawingml/2006/main">
            <a:ext uri="{FF2B5EF4-FFF2-40B4-BE49-F238E27FC236}">
              <a16:creationId xmlns:a16="http://schemas.microsoft.com/office/drawing/2014/main" id="{CDB3A825-35D2-4FF8-C3E7-5267EA431391}"/>
            </a:ext>
          </a:extLst>
        </cdr:cNvPr>
        <cdr:cNvSpPr txBox="1"/>
      </cdr:nvSpPr>
      <cdr:spPr>
        <a:xfrm xmlns:a="http://schemas.openxmlformats.org/drawingml/2006/main" rot="16200000">
          <a:off x="-495666" y="2361096"/>
          <a:ext cx="1665676" cy="434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800" b="1">
              <a:solidFill>
                <a:schemeClr val="tx1">
                  <a:lumMod val="75000"/>
                  <a:lumOff val="2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用電度數</a:t>
          </a:r>
          <a:r>
            <a:rPr lang="en-US" altLang="zh-TW" sz="1800" b="1">
              <a:solidFill>
                <a:schemeClr val="tx1">
                  <a:lumMod val="75000"/>
                  <a:lumOff val="2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 (kWh)</a:t>
          </a:r>
          <a:endParaRPr lang="zh-TW" altLang="zh-TW" sz="1800" b="1">
            <a:solidFill>
              <a:schemeClr val="tx1">
                <a:lumMod val="75000"/>
                <a:lumOff val="2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  <a:p xmlns:a="http://schemas.openxmlformats.org/drawingml/2006/main">
          <a:endParaRPr lang="zh-TW" altLang="en-US" sz="1800" b="1" kern="1200">
            <a:solidFill>
              <a:schemeClr val="tx1">
                <a:lumMod val="75000"/>
                <a:lumOff val="2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404090</xdr:colOff>
      <xdr:row>1</xdr:row>
      <xdr:rowOff>36945</xdr:rowOff>
    </xdr:from>
    <xdr:to>
      <xdr:col>24</xdr:col>
      <xdr:colOff>400241</xdr:colOff>
      <xdr:row>17</xdr:row>
      <xdr:rowOff>230908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A9EAA70-7767-5EA2-9C42-763F13DE1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4DA6-D668-2E41-8338-7F6706C04AE7}">
  <sheetPr>
    <tabColor theme="3" tint="0.89999084444715716"/>
    <pageSetUpPr fitToPage="1"/>
  </sheetPr>
  <dimension ref="A1:Q32"/>
  <sheetViews>
    <sheetView tabSelected="1" topLeftCell="A13" zoomScaleNormal="100" workbookViewId="0">
      <selection activeCell="I22" sqref="I22"/>
    </sheetView>
  </sheetViews>
  <sheetFormatPr defaultColWidth="8.7265625" defaultRowHeight="15.5"/>
  <cols>
    <col min="1" max="1" width="20.6328125" style="18" customWidth="1"/>
    <col min="2" max="2" width="12.08984375" style="17" customWidth="1"/>
    <col min="3" max="3" width="18.453125" style="17" customWidth="1"/>
    <col min="4" max="7" width="15.6328125" style="17" customWidth="1"/>
    <col min="8" max="15" width="8.7265625" style="25"/>
    <col min="16" max="16" width="10.81640625" style="25" customWidth="1"/>
    <col min="17" max="17" width="40.453125" style="25" customWidth="1"/>
    <col min="18" max="20" width="10.81640625" style="25" customWidth="1"/>
    <col min="21" max="16384" width="8.7265625" style="25"/>
  </cols>
  <sheetData>
    <row r="1" spans="1:15" s="18" customFormat="1" ht="40" customHeight="1" thickBot="1">
      <c r="A1" s="49"/>
      <c r="B1" s="180" t="s">
        <v>150</v>
      </c>
      <c r="C1" s="181"/>
      <c r="D1" s="181"/>
      <c r="E1" s="181"/>
      <c r="F1" s="181"/>
      <c r="G1" s="182"/>
      <c r="I1" s="166" t="s">
        <v>96</v>
      </c>
      <c r="J1" s="166"/>
      <c r="K1" s="166"/>
      <c r="L1" s="166"/>
      <c r="M1" s="166"/>
      <c r="N1" s="166"/>
      <c r="O1" s="166"/>
    </row>
    <row r="2" spans="1:15" ht="20" customHeight="1">
      <c r="A2" s="50" t="s">
        <v>151</v>
      </c>
      <c r="B2" s="185" t="s">
        <v>39</v>
      </c>
      <c r="C2" s="178"/>
      <c r="D2" s="178" t="s">
        <v>40</v>
      </c>
      <c r="E2" s="178"/>
      <c r="F2" s="178"/>
      <c r="G2" s="179"/>
      <c r="I2" s="167"/>
      <c r="J2" s="167"/>
      <c r="K2" s="167"/>
      <c r="L2" s="167"/>
      <c r="M2" s="167"/>
      <c r="N2" s="167"/>
      <c r="O2" s="167"/>
    </row>
    <row r="3" spans="1:15" ht="20" customHeight="1">
      <c r="A3" s="50" t="s">
        <v>152</v>
      </c>
      <c r="B3" s="156" t="s">
        <v>184</v>
      </c>
      <c r="C3" s="177"/>
      <c r="D3" s="183"/>
      <c r="E3" s="183"/>
      <c r="F3" s="183"/>
      <c r="G3" s="184"/>
      <c r="I3" s="167"/>
      <c r="J3" s="167"/>
      <c r="K3" s="167"/>
      <c r="L3" s="167"/>
      <c r="M3" s="167"/>
      <c r="N3" s="167"/>
      <c r="O3" s="167"/>
    </row>
    <row r="4" spans="1:15" ht="20" customHeight="1">
      <c r="A4" s="46" t="s">
        <v>154</v>
      </c>
      <c r="B4" s="156" t="s">
        <v>185</v>
      </c>
      <c r="C4" s="177"/>
      <c r="D4" s="190"/>
      <c r="E4" s="190"/>
      <c r="F4" s="190"/>
      <c r="G4" s="191"/>
      <c r="I4" s="167"/>
      <c r="J4" s="167"/>
      <c r="K4" s="167"/>
      <c r="L4" s="167"/>
      <c r="M4" s="167"/>
      <c r="N4" s="167"/>
      <c r="O4" s="167"/>
    </row>
    <row r="5" spans="1:15" ht="20" customHeight="1">
      <c r="A5" s="47" t="s">
        <v>160</v>
      </c>
      <c r="B5" s="156" t="s">
        <v>186</v>
      </c>
      <c r="C5" s="177"/>
      <c r="D5" s="188"/>
      <c r="E5" s="188"/>
      <c r="F5" s="188"/>
      <c r="G5" s="189"/>
      <c r="I5" s="167"/>
      <c r="J5" s="167"/>
      <c r="K5" s="167"/>
      <c r="L5" s="167"/>
      <c r="M5" s="167"/>
      <c r="N5" s="167"/>
      <c r="O5" s="167"/>
    </row>
    <row r="6" spans="1:15" ht="20" customHeight="1">
      <c r="A6" s="48" t="s">
        <v>149</v>
      </c>
      <c r="B6" s="156" t="s">
        <v>187</v>
      </c>
      <c r="C6" s="177"/>
      <c r="D6" s="170"/>
      <c r="E6" s="170"/>
      <c r="F6" s="170"/>
      <c r="G6" s="171"/>
      <c r="I6" s="167"/>
      <c r="J6" s="167"/>
      <c r="K6" s="167"/>
      <c r="L6" s="167"/>
      <c r="M6" s="167"/>
      <c r="N6" s="167"/>
      <c r="O6" s="167"/>
    </row>
    <row r="7" spans="1:15" ht="20" customHeight="1">
      <c r="A7" s="49"/>
      <c r="B7" s="192" t="s">
        <v>190</v>
      </c>
      <c r="C7" s="193"/>
      <c r="D7" s="108"/>
      <c r="E7" s="21" t="s">
        <v>183</v>
      </c>
      <c r="F7" s="175"/>
      <c r="G7" s="176"/>
      <c r="I7" s="167"/>
      <c r="J7" s="167"/>
      <c r="K7" s="167"/>
      <c r="L7" s="167"/>
      <c r="M7" s="167"/>
      <c r="N7" s="167"/>
      <c r="O7" s="167"/>
    </row>
    <row r="8" spans="1:15" ht="20" customHeight="1">
      <c r="A8" s="49"/>
      <c r="B8" s="156" t="s">
        <v>188</v>
      </c>
      <c r="C8" s="177"/>
      <c r="D8" s="172"/>
      <c r="E8" s="173"/>
      <c r="F8" s="173"/>
      <c r="G8" s="174"/>
      <c r="I8" s="167"/>
      <c r="J8" s="167"/>
      <c r="K8" s="167"/>
      <c r="L8" s="167"/>
      <c r="M8" s="167"/>
      <c r="N8" s="167"/>
      <c r="O8" s="167"/>
    </row>
    <row r="9" spans="1:15" ht="20" customHeight="1">
      <c r="B9" s="156" t="s">
        <v>189</v>
      </c>
      <c r="C9" s="177"/>
      <c r="D9" s="32" t="s">
        <v>86</v>
      </c>
      <c r="E9" s="168"/>
      <c r="F9" s="168"/>
      <c r="G9" s="169"/>
      <c r="I9" s="167"/>
      <c r="J9" s="167"/>
      <c r="K9" s="167"/>
      <c r="L9" s="167"/>
      <c r="M9" s="167"/>
      <c r="N9" s="167"/>
      <c r="O9" s="167"/>
    </row>
    <row r="10" spans="1:15" ht="20" customHeight="1">
      <c r="B10" s="156"/>
      <c r="C10" s="177"/>
      <c r="D10" s="44" t="s">
        <v>87</v>
      </c>
      <c r="E10" s="183"/>
      <c r="F10" s="183"/>
      <c r="G10" s="109" t="s">
        <v>153</v>
      </c>
      <c r="I10" s="26"/>
      <c r="J10" s="26"/>
      <c r="K10" s="26"/>
      <c r="L10" s="26"/>
      <c r="M10" s="26"/>
      <c r="N10" s="26"/>
      <c r="O10" s="26"/>
    </row>
    <row r="11" spans="1:15" ht="20" customHeight="1">
      <c r="B11" s="156"/>
      <c r="C11" s="177"/>
      <c r="D11" s="114"/>
      <c r="E11" s="44" t="s">
        <v>88</v>
      </c>
      <c r="F11" s="59"/>
      <c r="G11" s="109" t="s">
        <v>89</v>
      </c>
      <c r="I11" s="26"/>
      <c r="J11" s="26"/>
      <c r="K11" s="26"/>
      <c r="L11" s="26"/>
      <c r="M11" s="26"/>
      <c r="N11" s="26"/>
      <c r="O11" s="26"/>
    </row>
    <row r="12" spans="1:15" ht="20" customHeight="1">
      <c r="B12" s="156"/>
      <c r="C12" s="177"/>
      <c r="D12" s="115"/>
      <c r="E12" s="32" t="s">
        <v>90</v>
      </c>
      <c r="F12" s="59"/>
      <c r="G12" s="109" t="s">
        <v>91</v>
      </c>
      <c r="I12" s="26"/>
      <c r="J12" s="26"/>
      <c r="K12" s="26"/>
      <c r="L12" s="26"/>
      <c r="M12" s="26"/>
      <c r="N12" s="26"/>
      <c r="O12" s="26"/>
    </row>
    <row r="13" spans="1:15" ht="20" customHeight="1">
      <c r="B13" s="156"/>
      <c r="C13" s="177"/>
      <c r="D13" s="115"/>
      <c r="E13" s="32" t="s">
        <v>92</v>
      </c>
      <c r="F13" s="44" t="s">
        <v>94</v>
      </c>
      <c r="G13" s="116"/>
      <c r="I13" s="26"/>
      <c r="J13" s="26"/>
      <c r="K13" s="26"/>
      <c r="L13" s="26"/>
      <c r="M13" s="26"/>
      <c r="N13" s="26"/>
      <c r="O13" s="26"/>
    </row>
    <row r="14" spans="1:15" ht="20" customHeight="1">
      <c r="B14" s="156"/>
      <c r="C14" s="177"/>
      <c r="D14" s="59"/>
      <c r="E14" s="44" t="s">
        <v>93</v>
      </c>
      <c r="F14" s="44" t="s">
        <v>94</v>
      </c>
      <c r="G14" s="110"/>
      <c r="I14" s="26"/>
      <c r="J14" s="26"/>
      <c r="K14" s="26"/>
      <c r="L14" s="26"/>
      <c r="M14" s="26"/>
      <c r="N14" s="26"/>
      <c r="O14" s="26"/>
    </row>
    <row r="15" spans="1:15" ht="20" customHeight="1">
      <c r="B15" s="156"/>
      <c r="C15" s="177"/>
      <c r="D15" s="59"/>
      <c r="E15" s="44" t="s">
        <v>95</v>
      </c>
      <c r="F15" s="186"/>
      <c r="G15" s="187"/>
      <c r="I15" s="26"/>
      <c r="J15" s="26"/>
      <c r="K15" s="26"/>
      <c r="L15" s="26"/>
      <c r="M15" s="26"/>
      <c r="N15" s="26"/>
      <c r="O15" s="26"/>
    </row>
    <row r="16" spans="1:15" ht="20" customHeight="1">
      <c r="B16" s="156" t="s">
        <v>82</v>
      </c>
      <c r="C16" s="43" t="s">
        <v>191</v>
      </c>
      <c r="D16" s="154"/>
      <c r="E16" s="154"/>
      <c r="F16" s="154"/>
      <c r="G16" s="155"/>
    </row>
    <row r="17" spans="2:17" ht="20" customHeight="1">
      <c r="B17" s="156"/>
      <c r="C17" s="43" t="s">
        <v>192</v>
      </c>
      <c r="D17" s="154"/>
      <c r="E17" s="154"/>
      <c r="F17" s="154"/>
      <c r="G17" s="155"/>
    </row>
    <row r="18" spans="2:17" ht="20" customHeight="1">
      <c r="B18" s="156"/>
      <c r="C18" s="43" t="s">
        <v>193</v>
      </c>
      <c r="D18" s="154"/>
      <c r="E18" s="154"/>
      <c r="F18" s="154"/>
      <c r="G18" s="155"/>
    </row>
    <row r="19" spans="2:17" ht="20" customHeight="1">
      <c r="B19" s="156"/>
      <c r="C19" s="43" t="s">
        <v>182</v>
      </c>
      <c r="D19" s="154"/>
      <c r="E19" s="154"/>
      <c r="F19" s="154"/>
      <c r="G19" s="155"/>
    </row>
    <row r="20" spans="2:17" ht="20" customHeight="1">
      <c r="B20" s="156" t="s">
        <v>83</v>
      </c>
      <c r="C20" s="43" t="s">
        <v>194</v>
      </c>
      <c r="D20" s="154"/>
      <c r="E20" s="154"/>
      <c r="F20" s="154"/>
      <c r="G20" s="155"/>
    </row>
    <row r="21" spans="2:17" ht="20" customHeight="1">
      <c r="B21" s="156"/>
      <c r="C21" s="43" t="s">
        <v>195</v>
      </c>
      <c r="D21" s="154"/>
      <c r="E21" s="154"/>
      <c r="F21" s="154"/>
      <c r="G21" s="155"/>
    </row>
    <row r="22" spans="2:17" ht="20" customHeight="1">
      <c r="B22" s="156"/>
      <c r="C22" s="43" t="s">
        <v>196</v>
      </c>
      <c r="D22" s="154"/>
      <c r="E22" s="154"/>
      <c r="F22" s="154"/>
      <c r="G22" s="155"/>
    </row>
    <row r="23" spans="2:17" ht="20" customHeight="1">
      <c r="B23" s="156"/>
      <c r="C23" s="43" t="s">
        <v>197</v>
      </c>
      <c r="D23" s="154"/>
      <c r="E23" s="154"/>
      <c r="F23" s="154"/>
      <c r="G23" s="155"/>
    </row>
    <row r="24" spans="2:17" ht="20" customHeight="1">
      <c r="B24" s="156"/>
      <c r="C24" s="43" t="s">
        <v>84</v>
      </c>
      <c r="D24" s="154"/>
      <c r="E24" s="154"/>
      <c r="F24" s="154"/>
      <c r="G24" s="155"/>
    </row>
    <row r="25" spans="2:17" ht="18">
      <c r="B25" s="156" t="s">
        <v>176</v>
      </c>
      <c r="C25" s="21" t="s">
        <v>199</v>
      </c>
      <c r="D25" s="158"/>
      <c r="E25" s="158"/>
      <c r="F25" s="158"/>
      <c r="G25" s="159"/>
      <c r="Q25" s="17"/>
    </row>
    <row r="26" spans="2:17" ht="16">
      <c r="B26" s="156"/>
      <c r="C26" s="21" t="s">
        <v>177</v>
      </c>
      <c r="D26" s="160"/>
      <c r="E26" s="160"/>
      <c r="F26" s="160"/>
      <c r="G26" s="161"/>
      <c r="Q26" s="17"/>
    </row>
    <row r="27" spans="2:17" ht="16">
      <c r="B27" s="156"/>
      <c r="C27" s="21" t="s">
        <v>178</v>
      </c>
      <c r="D27" s="160"/>
      <c r="E27" s="160"/>
      <c r="F27" s="160"/>
      <c r="G27" s="161"/>
      <c r="Q27" s="17"/>
    </row>
    <row r="28" spans="2:17" ht="31.5" customHeight="1">
      <c r="B28" s="156"/>
      <c r="C28" s="21" t="s">
        <v>181</v>
      </c>
      <c r="D28" s="170"/>
      <c r="E28" s="170"/>
      <c r="F28" s="170"/>
      <c r="G28" s="171"/>
      <c r="Q28" s="27"/>
    </row>
    <row r="29" spans="2:17" ht="34">
      <c r="B29" s="156"/>
      <c r="C29" s="28" t="s">
        <v>180</v>
      </c>
      <c r="D29" s="162"/>
      <c r="E29" s="162"/>
      <c r="F29" s="162"/>
      <c r="G29" s="163"/>
      <c r="Q29" s="17"/>
    </row>
    <row r="30" spans="2:17" ht="16.5" thickBot="1">
      <c r="B30" s="157"/>
      <c r="C30" s="107" t="s">
        <v>179</v>
      </c>
      <c r="D30" s="164"/>
      <c r="E30" s="164"/>
      <c r="F30" s="164"/>
      <c r="G30" s="165"/>
      <c r="Q30" s="17"/>
    </row>
    <row r="31" spans="2:17">
      <c r="B31" s="153" t="s">
        <v>198</v>
      </c>
      <c r="C31" s="153"/>
      <c r="D31" s="153"/>
      <c r="E31" s="153"/>
      <c r="F31" s="153"/>
      <c r="G31" s="153"/>
      <c r="Q31" s="17"/>
    </row>
    <row r="32" spans="2:17" ht="40" customHeight="1">
      <c r="B32" s="152" t="s">
        <v>294</v>
      </c>
      <c r="C32" s="152"/>
      <c r="D32" s="152"/>
      <c r="E32" s="152"/>
      <c r="F32" s="152"/>
      <c r="G32" s="152"/>
      <c r="Q32" s="27"/>
    </row>
  </sheetData>
  <mergeCells count="41">
    <mergeCell ref="B9:C15"/>
    <mergeCell ref="D2:G2"/>
    <mergeCell ref="B1:G1"/>
    <mergeCell ref="D3:G3"/>
    <mergeCell ref="B2:C2"/>
    <mergeCell ref="B3:C3"/>
    <mergeCell ref="B4:C4"/>
    <mergeCell ref="B5:C5"/>
    <mergeCell ref="B6:C6"/>
    <mergeCell ref="E10:F10"/>
    <mergeCell ref="F15:G15"/>
    <mergeCell ref="D6:G6"/>
    <mergeCell ref="D5:G5"/>
    <mergeCell ref="D4:G4"/>
    <mergeCell ref="B7:C7"/>
    <mergeCell ref="B8:C8"/>
    <mergeCell ref="I1:O1"/>
    <mergeCell ref="I2:O9"/>
    <mergeCell ref="E9:G9"/>
    <mergeCell ref="D17:G17"/>
    <mergeCell ref="D28:G28"/>
    <mergeCell ref="D16:G16"/>
    <mergeCell ref="D8:G8"/>
    <mergeCell ref="F7:G7"/>
    <mergeCell ref="D19:G19"/>
    <mergeCell ref="B32:G32"/>
    <mergeCell ref="B31:G31"/>
    <mergeCell ref="D23:G23"/>
    <mergeCell ref="D24:G24"/>
    <mergeCell ref="B16:B19"/>
    <mergeCell ref="B20:B24"/>
    <mergeCell ref="D20:G20"/>
    <mergeCell ref="D21:G21"/>
    <mergeCell ref="D22:G22"/>
    <mergeCell ref="D18:G18"/>
    <mergeCell ref="B25:B30"/>
    <mergeCell ref="D25:G25"/>
    <mergeCell ref="D26:G26"/>
    <mergeCell ref="D27:G27"/>
    <mergeCell ref="D29:G29"/>
    <mergeCell ref="D30:G30"/>
  </mergeCells>
  <phoneticPr fontId="1" type="noConversion"/>
  <dataValidations count="1">
    <dataValidation type="list" allowBlank="1" showInputMessage="1" showErrorMessage="1" sqref="D7 D28:G28 E9:G9 D5:G6" xr:uid="{FC20386A-2D69-4072-B085-67006F7D15E1}">
      <formula1>#REF!</formula1>
    </dataValidation>
  </dataValidations>
  <hyperlinks>
    <hyperlink ref="A2" location="目錄!A1" display="回目錄頁 ↩" xr:uid="{FE7099AE-6627-4CD5-A4C6-C1E9D4809086}"/>
    <hyperlink ref="A3" location="預設選單欄位設定!A1" display="預設選單欄位設定 ➠" xr:uid="{E4D921AB-5C77-4B95-9A3D-73318083BECE}"/>
  </hyperlinks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89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90B1-7D86-8640-AD4A-ACFA16A02FE3}">
  <sheetPr>
    <tabColor theme="5" tint="0.79998168889431442"/>
    <pageSetUpPr fitToPage="1"/>
  </sheetPr>
  <dimension ref="A1:T30"/>
  <sheetViews>
    <sheetView topLeftCell="A2" zoomScale="85" zoomScaleNormal="85" workbookViewId="0"/>
  </sheetViews>
  <sheetFormatPr defaultColWidth="10.81640625" defaultRowHeight="15.5"/>
  <cols>
    <col min="1" max="1" width="20.6328125" style="17" customWidth="1"/>
    <col min="2" max="20" width="14.6328125" style="17" customWidth="1"/>
    <col min="21" max="34" width="10.81640625" style="17"/>
    <col min="35" max="35" width="10.81640625" style="17" customWidth="1"/>
    <col min="36" max="16384" width="10.81640625" style="17"/>
  </cols>
  <sheetData>
    <row r="1" spans="1:20" s="81" customFormat="1" ht="40" customHeight="1" thickBot="1">
      <c r="B1" s="180" t="s">
        <v>159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2"/>
    </row>
    <row r="2" spans="1:20" ht="25" customHeight="1">
      <c r="A2" s="50" t="s">
        <v>151</v>
      </c>
      <c r="B2" s="202" t="s">
        <v>99</v>
      </c>
      <c r="C2" s="206" t="s">
        <v>203</v>
      </c>
      <c r="D2" s="207"/>
      <c r="E2" s="207"/>
      <c r="F2" s="207"/>
      <c r="G2" s="204" t="s">
        <v>42</v>
      </c>
      <c r="H2" s="204"/>
      <c r="I2" s="204"/>
      <c r="J2" s="204"/>
      <c r="K2" s="204" t="s">
        <v>200</v>
      </c>
      <c r="L2" s="204"/>
      <c r="M2" s="204"/>
      <c r="N2" s="204"/>
      <c r="O2" s="204" t="s">
        <v>201</v>
      </c>
      <c r="P2" s="204"/>
      <c r="Q2" s="204"/>
      <c r="R2" s="204" t="s">
        <v>202</v>
      </c>
      <c r="S2" s="204"/>
      <c r="T2" s="208"/>
    </row>
    <row r="3" spans="1:20" ht="25" customHeight="1">
      <c r="A3" s="50" t="s">
        <v>152</v>
      </c>
      <c r="B3" s="203"/>
      <c r="C3" s="200"/>
      <c r="D3" s="201"/>
      <c r="E3" s="201"/>
      <c r="F3" s="201"/>
      <c r="G3" s="205">
        <f>'表Z｜基本資料'!D3</f>
        <v>0</v>
      </c>
      <c r="H3" s="205"/>
      <c r="I3" s="205"/>
      <c r="J3" s="205"/>
      <c r="K3" s="188"/>
      <c r="L3" s="188"/>
      <c r="M3" s="188"/>
      <c r="N3" s="188"/>
      <c r="O3" s="188"/>
      <c r="P3" s="188"/>
      <c r="Q3" s="188"/>
      <c r="R3" s="188"/>
      <c r="S3" s="188"/>
      <c r="T3" s="189"/>
    </row>
    <row r="4" spans="1:20" s="18" customFormat="1" ht="25" customHeight="1">
      <c r="A4" s="46" t="s">
        <v>154</v>
      </c>
      <c r="B4" s="39" t="s">
        <v>156</v>
      </c>
      <c r="C4" s="21" t="s">
        <v>44</v>
      </c>
      <c r="D4" s="21" t="s">
        <v>45</v>
      </c>
      <c r="E4" s="21" t="s">
        <v>46</v>
      </c>
      <c r="F4" s="55" t="s">
        <v>47</v>
      </c>
      <c r="G4" s="177" t="s">
        <v>100</v>
      </c>
      <c r="H4" s="177"/>
      <c r="I4" s="177"/>
      <c r="J4" s="177"/>
      <c r="K4" s="177" t="s">
        <v>204</v>
      </c>
      <c r="L4" s="177"/>
      <c r="M4" s="177"/>
      <c r="N4" s="177"/>
      <c r="O4" s="177" t="s">
        <v>205</v>
      </c>
      <c r="P4" s="177"/>
      <c r="Q4" s="177"/>
      <c r="R4" s="177"/>
      <c r="S4" s="177"/>
      <c r="T4" s="209"/>
    </row>
    <row r="5" spans="1:20" ht="25" customHeight="1">
      <c r="A5" s="47" t="s">
        <v>160</v>
      </c>
      <c r="B5" s="39" t="s">
        <v>155</v>
      </c>
      <c r="C5" s="35" t="e">
        <f>(I20+N20)/$R20</f>
        <v>#DIV/0!</v>
      </c>
      <c r="D5" s="35" t="e">
        <f>(J20+O20)/$R20</f>
        <v>#DIV/0!</v>
      </c>
      <c r="E5" s="35" t="e">
        <f>(K20+P20)/$R20</f>
        <v>#DIV/0!</v>
      </c>
      <c r="F5" s="56" t="e">
        <f>(L20+Q20)/$R20</f>
        <v>#DIV/0!</v>
      </c>
      <c r="G5" s="215" t="e">
        <f>S20/M20</f>
        <v>#DIV/0!</v>
      </c>
      <c r="H5" s="215"/>
      <c r="I5" s="215"/>
      <c r="J5" s="215"/>
      <c r="K5" s="210"/>
      <c r="L5" s="210"/>
      <c r="M5" s="210"/>
      <c r="N5" s="210"/>
      <c r="O5" s="210"/>
      <c r="P5" s="210"/>
      <c r="Q5" s="210"/>
      <c r="R5" s="210"/>
      <c r="S5" s="210"/>
      <c r="T5" s="211"/>
    </row>
    <row r="6" spans="1:20" ht="25" customHeight="1">
      <c r="A6" s="48" t="s">
        <v>149</v>
      </c>
      <c r="B6" s="197" t="s">
        <v>43</v>
      </c>
      <c r="C6" s="198" t="s">
        <v>206</v>
      </c>
      <c r="D6" s="212" t="s">
        <v>207</v>
      </c>
      <c r="E6" s="213"/>
      <c r="F6" s="213"/>
      <c r="G6" s="213"/>
      <c r="H6" s="214"/>
      <c r="I6" s="212" t="s">
        <v>208</v>
      </c>
      <c r="J6" s="213"/>
      <c r="K6" s="213"/>
      <c r="L6" s="213"/>
      <c r="M6" s="214"/>
      <c r="N6" s="195" t="s">
        <v>98</v>
      </c>
      <c r="O6" s="195"/>
      <c r="P6" s="195"/>
      <c r="Q6" s="195"/>
      <c r="R6" s="21" t="s">
        <v>97</v>
      </c>
      <c r="S6" s="195" t="s">
        <v>209</v>
      </c>
      <c r="T6" s="196" t="s">
        <v>158</v>
      </c>
    </row>
    <row r="7" spans="1:20" ht="25" customHeight="1">
      <c r="B7" s="197"/>
      <c r="C7" s="199"/>
      <c r="D7" s="21" t="s">
        <v>44</v>
      </c>
      <c r="E7" s="21" t="s">
        <v>45</v>
      </c>
      <c r="F7" s="21" t="s">
        <v>46</v>
      </c>
      <c r="G7" s="21" t="s">
        <v>47</v>
      </c>
      <c r="H7" s="28" t="s">
        <v>157</v>
      </c>
      <c r="I7" s="21" t="s">
        <v>44</v>
      </c>
      <c r="J7" s="21" t="s">
        <v>45</v>
      </c>
      <c r="K7" s="21" t="s">
        <v>46</v>
      </c>
      <c r="L7" s="21" t="s">
        <v>47</v>
      </c>
      <c r="M7" s="21" t="s">
        <v>11</v>
      </c>
      <c r="N7" s="21" t="s">
        <v>44</v>
      </c>
      <c r="O7" s="21" t="s">
        <v>45</v>
      </c>
      <c r="P7" s="21" t="s">
        <v>46</v>
      </c>
      <c r="Q7" s="21" t="s">
        <v>47</v>
      </c>
      <c r="R7" s="21" t="s">
        <v>11</v>
      </c>
      <c r="S7" s="195"/>
      <c r="T7" s="196"/>
    </row>
    <row r="8" spans="1:20" ht="25" customHeight="1">
      <c r="B8" s="29" t="s">
        <v>48</v>
      </c>
      <c r="C8" s="135"/>
      <c r="D8" s="136"/>
      <c r="E8" s="136"/>
      <c r="F8" s="136"/>
      <c r="G8" s="136"/>
      <c r="H8" s="52">
        <f>MAX(D8:G8)</f>
        <v>0</v>
      </c>
      <c r="I8" s="134"/>
      <c r="J8" s="134"/>
      <c r="K8" s="134"/>
      <c r="L8" s="134"/>
      <c r="M8" s="52">
        <f>SUM(I8:L8)</f>
        <v>0</v>
      </c>
      <c r="N8" s="51">
        <v>0</v>
      </c>
      <c r="O8" s="51">
        <v>0</v>
      </c>
      <c r="P8" s="51">
        <v>0</v>
      </c>
      <c r="Q8" s="51">
        <v>0</v>
      </c>
      <c r="R8" s="52">
        <f>SUM(I8:L8)+SUM(N8:Q8)</f>
        <v>0</v>
      </c>
      <c r="S8" s="51"/>
      <c r="T8" s="53">
        <f>K$5</f>
        <v>0</v>
      </c>
    </row>
    <row r="9" spans="1:20" ht="25" customHeight="1">
      <c r="B9" s="29" t="s">
        <v>0</v>
      </c>
      <c r="C9" s="135"/>
      <c r="D9" s="136"/>
      <c r="E9" s="136"/>
      <c r="F9" s="136"/>
      <c r="G9" s="136"/>
      <c r="H9" s="52">
        <f t="shared" ref="H9:H19" si="0">MAX(D9:G9)</f>
        <v>0</v>
      </c>
      <c r="I9" s="134"/>
      <c r="J9" s="134"/>
      <c r="K9" s="134"/>
      <c r="L9" s="134"/>
      <c r="M9" s="52">
        <f t="shared" ref="M9:M19" si="1">SUM(I9:L9)</f>
        <v>0</v>
      </c>
      <c r="N9" s="51">
        <v>0</v>
      </c>
      <c r="O9" s="51">
        <v>0</v>
      </c>
      <c r="P9" s="51">
        <v>0</v>
      </c>
      <c r="Q9" s="51">
        <v>0</v>
      </c>
      <c r="R9" s="52">
        <f t="shared" ref="R9:R19" si="2">SUM(I9:L9)+SUM(N9:Q9)</f>
        <v>0</v>
      </c>
      <c r="S9" s="51"/>
      <c r="T9" s="53">
        <f t="shared" ref="T9:T19" si="3">K$5</f>
        <v>0</v>
      </c>
    </row>
    <row r="10" spans="1:20" ht="25" customHeight="1">
      <c r="B10" s="29" t="s">
        <v>1</v>
      </c>
      <c r="C10" s="135"/>
      <c r="D10" s="136"/>
      <c r="E10" s="136"/>
      <c r="F10" s="136"/>
      <c r="G10" s="136"/>
      <c r="H10" s="52">
        <f t="shared" si="0"/>
        <v>0</v>
      </c>
      <c r="I10" s="134"/>
      <c r="J10" s="134"/>
      <c r="K10" s="134"/>
      <c r="L10" s="134"/>
      <c r="M10" s="52">
        <f t="shared" si="1"/>
        <v>0</v>
      </c>
      <c r="N10" s="51">
        <v>0</v>
      </c>
      <c r="O10" s="51">
        <v>0</v>
      </c>
      <c r="P10" s="51">
        <v>0</v>
      </c>
      <c r="Q10" s="51">
        <v>0</v>
      </c>
      <c r="R10" s="52">
        <f t="shared" si="2"/>
        <v>0</v>
      </c>
      <c r="S10" s="51"/>
      <c r="T10" s="53">
        <f t="shared" si="3"/>
        <v>0</v>
      </c>
    </row>
    <row r="11" spans="1:20" ht="25" customHeight="1">
      <c r="B11" s="29" t="s">
        <v>2</v>
      </c>
      <c r="C11" s="135"/>
      <c r="D11" s="136"/>
      <c r="E11" s="136"/>
      <c r="F11" s="136"/>
      <c r="G11" s="136"/>
      <c r="H11" s="52">
        <f t="shared" si="0"/>
        <v>0</v>
      </c>
      <c r="I11" s="134"/>
      <c r="J11" s="134"/>
      <c r="K11" s="134"/>
      <c r="L11" s="134"/>
      <c r="M11" s="52">
        <f t="shared" si="1"/>
        <v>0</v>
      </c>
      <c r="N11" s="51">
        <v>0</v>
      </c>
      <c r="O11" s="51">
        <v>0</v>
      </c>
      <c r="P11" s="51">
        <v>0</v>
      </c>
      <c r="Q11" s="51">
        <v>0</v>
      </c>
      <c r="R11" s="52">
        <f t="shared" si="2"/>
        <v>0</v>
      </c>
      <c r="S11" s="51"/>
      <c r="T11" s="53">
        <f t="shared" si="3"/>
        <v>0</v>
      </c>
    </row>
    <row r="12" spans="1:20" ht="25" customHeight="1">
      <c r="B12" s="29" t="s">
        <v>3</v>
      </c>
      <c r="C12" s="135"/>
      <c r="D12" s="136"/>
      <c r="E12" s="136"/>
      <c r="F12" s="136"/>
      <c r="G12" s="136"/>
      <c r="H12" s="52">
        <f t="shared" si="0"/>
        <v>0</v>
      </c>
      <c r="I12" s="134"/>
      <c r="J12" s="134"/>
      <c r="K12" s="134"/>
      <c r="L12" s="134"/>
      <c r="M12" s="52">
        <f t="shared" si="1"/>
        <v>0</v>
      </c>
      <c r="N12" s="51">
        <v>0</v>
      </c>
      <c r="O12" s="51">
        <v>0</v>
      </c>
      <c r="P12" s="51">
        <v>0</v>
      </c>
      <c r="Q12" s="51">
        <v>0</v>
      </c>
      <c r="R12" s="52">
        <f t="shared" si="2"/>
        <v>0</v>
      </c>
      <c r="S12" s="51"/>
      <c r="T12" s="53">
        <f t="shared" si="3"/>
        <v>0</v>
      </c>
    </row>
    <row r="13" spans="1:20" ht="25" customHeight="1">
      <c r="B13" s="29" t="s">
        <v>4</v>
      </c>
      <c r="C13" s="135"/>
      <c r="D13" s="136"/>
      <c r="E13" s="136"/>
      <c r="F13" s="136"/>
      <c r="G13" s="136"/>
      <c r="H13" s="52">
        <f t="shared" si="0"/>
        <v>0</v>
      </c>
      <c r="I13" s="134"/>
      <c r="J13" s="134"/>
      <c r="K13" s="134"/>
      <c r="L13" s="134"/>
      <c r="M13" s="52">
        <f t="shared" si="1"/>
        <v>0</v>
      </c>
      <c r="N13" s="51">
        <v>0</v>
      </c>
      <c r="O13" s="51">
        <v>0</v>
      </c>
      <c r="P13" s="51">
        <v>0</v>
      </c>
      <c r="Q13" s="51">
        <v>0</v>
      </c>
      <c r="R13" s="52">
        <f t="shared" si="2"/>
        <v>0</v>
      </c>
      <c r="S13" s="51"/>
      <c r="T13" s="53">
        <f t="shared" si="3"/>
        <v>0</v>
      </c>
    </row>
    <row r="14" spans="1:20" ht="25" customHeight="1">
      <c r="B14" s="29" t="s">
        <v>5</v>
      </c>
      <c r="C14" s="135"/>
      <c r="D14" s="136"/>
      <c r="E14" s="136"/>
      <c r="F14" s="136"/>
      <c r="G14" s="136"/>
      <c r="H14" s="52">
        <f t="shared" si="0"/>
        <v>0</v>
      </c>
      <c r="I14" s="134"/>
      <c r="J14" s="134"/>
      <c r="K14" s="134"/>
      <c r="L14" s="134"/>
      <c r="M14" s="52">
        <f t="shared" si="1"/>
        <v>0</v>
      </c>
      <c r="N14" s="51">
        <v>0</v>
      </c>
      <c r="O14" s="51">
        <v>0</v>
      </c>
      <c r="P14" s="51">
        <v>0</v>
      </c>
      <c r="Q14" s="51">
        <v>0</v>
      </c>
      <c r="R14" s="52">
        <f t="shared" si="2"/>
        <v>0</v>
      </c>
      <c r="S14" s="51"/>
      <c r="T14" s="53">
        <f t="shared" si="3"/>
        <v>0</v>
      </c>
    </row>
    <row r="15" spans="1:20" ht="25" customHeight="1">
      <c r="B15" s="29" t="s">
        <v>6</v>
      </c>
      <c r="C15" s="135"/>
      <c r="D15" s="136"/>
      <c r="E15" s="136"/>
      <c r="F15" s="136"/>
      <c r="G15" s="136"/>
      <c r="H15" s="52">
        <f t="shared" si="0"/>
        <v>0</v>
      </c>
      <c r="I15" s="134"/>
      <c r="J15" s="134"/>
      <c r="K15" s="134"/>
      <c r="L15" s="134"/>
      <c r="M15" s="52">
        <f t="shared" si="1"/>
        <v>0</v>
      </c>
      <c r="N15" s="51">
        <v>0</v>
      </c>
      <c r="O15" s="51">
        <v>0</v>
      </c>
      <c r="P15" s="51">
        <v>0</v>
      </c>
      <c r="Q15" s="51">
        <v>0</v>
      </c>
      <c r="R15" s="52">
        <f t="shared" si="2"/>
        <v>0</v>
      </c>
      <c r="S15" s="51"/>
      <c r="T15" s="53">
        <f t="shared" si="3"/>
        <v>0</v>
      </c>
    </row>
    <row r="16" spans="1:20" ht="25" customHeight="1">
      <c r="B16" s="29" t="s">
        <v>7</v>
      </c>
      <c r="C16" s="135"/>
      <c r="D16" s="136"/>
      <c r="E16" s="136"/>
      <c r="F16" s="136"/>
      <c r="G16" s="136"/>
      <c r="H16" s="52">
        <f t="shared" si="0"/>
        <v>0</v>
      </c>
      <c r="I16" s="134"/>
      <c r="J16" s="134"/>
      <c r="K16" s="134"/>
      <c r="L16" s="134"/>
      <c r="M16" s="52">
        <f t="shared" si="1"/>
        <v>0</v>
      </c>
      <c r="N16" s="51">
        <v>0</v>
      </c>
      <c r="O16" s="51">
        <v>0</v>
      </c>
      <c r="P16" s="51">
        <v>0</v>
      </c>
      <c r="Q16" s="51">
        <v>0</v>
      </c>
      <c r="R16" s="52">
        <f t="shared" si="2"/>
        <v>0</v>
      </c>
      <c r="S16" s="51"/>
      <c r="T16" s="53">
        <f t="shared" si="3"/>
        <v>0</v>
      </c>
    </row>
    <row r="17" spans="2:20" ht="25" customHeight="1">
      <c r="B17" s="29" t="s">
        <v>8</v>
      </c>
      <c r="C17" s="135"/>
      <c r="D17" s="136"/>
      <c r="E17" s="136"/>
      <c r="F17" s="136"/>
      <c r="G17" s="136"/>
      <c r="H17" s="52">
        <f t="shared" si="0"/>
        <v>0</v>
      </c>
      <c r="I17" s="134"/>
      <c r="J17" s="134"/>
      <c r="K17" s="134"/>
      <c r="L17" s="134"/>
      <c r="M17" s="52">
        <f t="shared" si="1"/>
        <v>0</v>
      </c>
      <c r="N17" s="51">
        <v>0</v>
      </c>
      <c r="O17" s="51">
        <v>0</v>
      </c>
      <c r="P17" s="51">
        <v>0</v>
      </c>
      <c r="Q17" s="51">
        <v>0</v>
      </c>
      <c r="R17" s="52">
        <f t="shared" si="2"/>
        <v>0</v>
      </c>
      <c r="S17" s="51"/>
      <c r="T17" s="53">
        <f t="shared" si="3"/>
        <v>0</v>
      </c>
    </row>
    <row r="18" spans="2:20" ht="25" customHeight="1">
      <c r="B18" s="29" t="s">
        <v>9</v>
      </c>
      <c r="C18" s="135"/>
      <c r="D18" s="136"/>
      <c r="E18" s="136"/>
      <c r="F18" s="136"/>
      <c r="G18" s="136"/>
      <c r="H18" s="52">
        <f t="shared" si="0"/>
        <v>0</v>
      </c>
      <c r="I18" s="134"/>
      <c r="J18" s="134"/>
      <c r="K18" s="134"/>
      <c r="L18" s="134"/>
      <c r="M18" s="52">
        <f t="shared" si="1"/>
        <v>0</v>
      </c>
      <c r="N18" s="51">
        <v>0</v>
      </c>
      <c r="O18" s="51">
        <v>0</v>
      </c>
      <c r="P18" s="51">
        <v>0</v>
      </c>
      <c r="Q18" s="51">
        <v>0</v>
      </c>
      <c r="R18" s="52">
        <f t="shared" si="2"/>
        <v>0</v>
      </c>
      <c r="S18" s="51"/>
      <c r="T18" s="53">
        <f t="shared" si="3"/>
        <v>0</v>
      </c>
    </row>
    <row r="19" spans="2:20" ht="25" customHeight="1">
      <c r="B19" s="29" t="s">
        <v>10</v>
      </c>
      <c r="C19" s="135"/>
      <c r="D19" s="136"/>
      <c r="E19" s="136"/>
      <c r="F19" s="136"/>
      <c r="G19" s="136"/>
      <c r="H19" s="52">
        <f t="shared" si="0"/>
        <v>0</v>
      </c>
      <c r="I19" s="134"/>
      <c r="J19" s="134"/>
      <c r="K19" s="134"/>
      <c r="L19" s="134"/>
      <c r="M19" s="52">
        <f t="shared" si="1"/>
        <v>0</v>
      </c>
      <c r="N19" s="51">
        <v>0</v>
      </c>
      <c r="O19" s="51">
        <v>0</v>
      </c>
      <c r="P19" s="51">
        <v>0</v>
      </c>
      <c r="Q19" s="51">
        <v>0</v>
      </c>
      <c r="R19" s="52">
        <f t="shared" si="2"/>
        <v>0</v>
      </c>
      <c r="S19" s="51"/>
      <c r="T19" s="53">
        <f t="shared" si="3"/>
        <v>0</v>
      </c>
    </row>
    <row r="20" spans="2:20" ht="25" customHeight="1" thickBot="1">
      <c r="B20" s="157" t="s">
        <v>11</v>
      </c>
      <c r="C20" s="194"/>
      <c r="D20" s="194"/>
      <c r="E20" s="194"/>
      <c r="F20" s="194"/>
      <c r="G20" s="194"/>
      <c r="H20" s="194"/>
      <c r="I20" s="54">
        <f t="shared" ref="I20:S20" si="4">SUM(I8:I19)</f>
        <v>0</v>
      </c>
      <c r="J20" s="54">
        <f t="shared" si="4"/>
        <v>0</v>
      </c>
      <c r="K20" s="54">
        <f t="shared" si="4"/>
        <v>0</v>
      </c>
      <c r="L20" s="54">
        <f t="shared" si="4"/>
        <v>0</v>
      </c>
      <c r="M20" s="54">
        <f t="shared" si="4"/>
        <v>0</v>
      </c>
      <c r="N20" s="54">
        <f t="shared" si="4"/>
        <v>0</v>
      </c>
      <c r="O20" s="54">
        <f t="shared" si="4"/>
        <v>0</v>
      </c>
      <c r="P20" s="54">
        <f t="shared" si="4"/>
        <v>0</v>
      </c>
      <c r="Q20" s="54">
        <f t="shared" si="4"/>
        <v>0</v>
      </c>
      <c r="R20" s="54">
        <f t="shared" si="4"/>
        <v>0</v>
      </c>
      <c r="S20" s="54">
        <f t="shared" si="4"/>
        <v>0</v>
      </c>
      <c r="T20" s="30"/>
    </row>
    <row r="22" spans="2:20" ht="16">
      <c r="K22" s="22"/>
      <c r="L22" s="22"/>
      <c r="M22" s="22"/>
      <c r="N22" s="22"/>
    </row>
    <row r="23" spans="2:20">
      <c r="K23" s="18"/>
      <c r="L23" s="19"/>
      <c r="M23" s="19"/>
      <c r="N23" s="20"/>
    </row>
    <row r="24" spans="2:20">
      <c r="K24" s="18"/>
      <c r="L24" s="19"/>
      <c r="M24" s="19"/>
      <c r="N24" s="20"/>
    </row>
    <row r="25" spans="2:20">
      <c r="K25" s="18"/>
      <c r="L25" s="19"/>
      <c r="M25" s="19"/>
      <c r="N25" s="23"/>
    </row>
    <row r="26" spans="2:20">
      <c r="K26" s="18"/>
      <c r="L26" s="19"/>
      <c r="M26" s="19"/>
      <c r="N26" s="20"/>
    </row>
    <row r="27" spans="2:20">
      <c r="K27" s="18"/>
      <c r="L27" s="19"/>
      <c r="M27" s="19"/>
      <c r="N27" s="23"/>
    </row>
    <row r="28" spans="2:20">
      <c r="K28" s="24"/>
      <c r="L28" s="24"/>
      <c r="M28" s="24"/>
      <c r="N28" s="24"/>
    </row>
    <row r="29" spans="2:20">
      <c r="K29" s="24"/>
      <c r="L29" s="24"/>
      <c r="M29" s="24"/>
      <c r="N29" s="24"/>
    </row>
    <row r="30" spans="2:20">
      <c r="K30" s="24"/>
      <c r="L30" s="24"/>
      <c r="M30" s="24"/>
      <c r="N30" s="24"/>
    </row>
  </sheetData>
  <mergeCells count="26">
    <mergeCell ref="O4:T4"/>
    <mergeCell ref="O5:T5"/>
    <mergeCell ref="D6:H6"/>
    <mergeCell ref="G4:J4"/>
    <mergeCell ref="G5:J5"/>
    <mergeCell ref="I6:M6"/>
    <mergeCell ref="K4:N4"/>
    <mergeCell ref="K5:N5"/>
    <mergeCell ref="C3:F3"/>
    <mergeCell ref="B2:B3"/>
    <mergeCell ref="B1:T1"/>
    <mergeCell ref="G2:J2"/>
    <mergeCell ref="G3:J3"/>
    <mergeCell ref="C2:F2"/>
    <mergeCell ref="K2:N2"/>
    <mergeCell ref="O2:Q2"/>
    <mergeCell ref="R2:T2"/>
    <mergeCell ref="K3:N3"/>
    <mergeCell ref="O3:Q3"/>
    <mergeCell ref="R3:T3"/>
    <mergeCell ref="B20:H20"/>
    <mergeCell ref="N6:Q6"/>
    <mergeCell ref="S6:S7"/>
    <mergeCell ref="T6:T7"/>
    <mergeCell ref="B6:B7"/>
    <mergeCell ref="C6:C7"/>
  </mergeCells>
  <phoneticPr fontId="1" type="noConversion"/>
  <dataValidations count="2">
    <dataValidation type="list" allowBlank="1" showInputMessage="1" showErrorMessage="1" sqref="R3:T3" xr:uid="{9E3040C6-A236-4188-9F16-A092F471F25D}">
      <formula1>#REF!</formula1>
    </dataValidation>
    <dataValidation type="list" allowBlank="1" showInputMessage="1" showErrorMessage="1" sqref="K3:Q3" xr:uid="{9C7853B8-AB0B-44C4-B106-F2418C878EE7}">
      <formula1>#REF!</formula1>
    </dataValidation>
  </dataValidations>
  <hyperlinks>
    <hyperlink ref="A2" location="目錄!A1" display="回目錄頁 ↩" xr:uid="{68142C89-617E-4272-9ACF-E5134ABE6B67}"/>
    <hyperlink ref="A3" location="預設選單欄位設定!A1" display="預設選單欄位設定 ➠" xr:uid="{9876D2D2-7F62-4A43-96E7-CEB343E2B3F7}"/>
  </hyperlinks>
  <printOptions horizontalCentered="1" verticalCentered="1"/>
  <pageMargins left="0.43307086614173229" right="0.43307086614173229" top="0.35433070866141736" bottom="0.35433070866141736" header="0.31496062992125984" footer="0.31496062992125984"/>
  <pageSetup paperSize="9" scale="69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768F-E587-044E-A220-433819678202}">
  <sheetPr>
    <tabColor theme="5" tint="0.79998168889431442"/>
    <pageSetUpPr fitToPage="1"/>
  </sheetPr>
  <dimension ref="A1:N59"/>
  <sheetViews>
    <sheetView zoomScale="70" zoomScaleNormal="70" workbookViewId="0"/>
  </sheetViews>
  <sheetFormatPr defaultColWidth="10.81640625" defaultRowHeight="15.5"/>
  <cols>
    <col min="1" max="1" width="20.6328125" style="17" customWidth="1"/>
    <col min="2" max="2" width="10.6328125" style="17" customWidth="1"/>
    <col min="3" max="14" width="14.6328125" style="17" customWidth="1"/>
    <col min="15" max="16384" width="10.81640625" style="17"/>
  </cols>
  <sheetData>
    <row r="1" spans="1:14" ht="40" customHeight="1" thickBot="1">
      <c r="B1" s="218" t="s">
        <v>148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20"/>
    </row>
    <row r="2" spans="1:14" ht="25" customHeight="1">
      <c r="A2" s="50" t="s">
        <v>151</v>
      </c>
      <c r="B2" s="221" t="s">
        <v>102</v>
      </c>
      <c r="C2" s="222"/>
      <c r="D2" s="80" t="s">
        <v>103</v>
      </c>
      <c r="E2" s="80" t="s">
        <v>104</v>
      </c>
      <c r="F2" s="80" t="s">
        <v>301</v>
      </c>
      <c r="G2" s="80" t="s">
        <v>105</v>
      </c>
      <c r="H2" s="80" t="s">
        <v>106</v>
      </c>
      <c r="I2" s="80" t="s">
        <v>107</v>
      </c>
      <c r="J2" s="80" t="s">
        <v>108</v>
      </c>
      <c r="K2" s="80" t="s">
        <v>16</v>
      </c>
      <c r="L2" s="80" t="s">
        <v>11</v>
      </c>
      <c r="M2" s="225" t="s">
        <v>109</v>
      </c>
      <c r="N2" s="226"/>
    </row>
    <row r="3" spans="1:14" ht="25" customHeight="1" thickBot="1">
      <c r="A3" s="50" t="s">
        <v>152</v>
      </c>
      <c r="B3" s="223"/>
      <c r="C3" s="224"/>
      <c r="D3" s="147">
        <f t="shared" ref="D3:K3" si="0">SUMIF($C:$C,D2,$N:$N)</f>
        <v>0</v>
      </c>
      <c r="E3" s="147">
        <f t="shared" si="0"/>
        <v>0</v>
      </c>
      <c r="F3" s="147">
        <f t="shared" si="0"/>
        <v>0</v>
      </c>
      <c r="G3" s="147">
        <f t="shared" si="0"/>
        <v>0</v>
      </c>
      <c r="H3" s="147">
        <f t="shared" si="0"/>
        <v>0</v>
      </c>
      <c r="I3" s="147">
        <f t="shared" si="0"/>
        <v>0</v>
      </c>
      <c r="J3" s="147">
        <f t="shared" si="0"/>
        <v>0</v>
      </c>
      <c r="K3" s="147">
        <f t="shared" si="0"/>
        <v>0</v>
      </c>
      <c r="L3" s="147">
        <f>SUM(D3:K3)</f>
        <v>0</v>
      </c>
      <c r="M3" s="227" t="str">
        <f>IF(L3&lt;60%,"尚不足60%",IF(L3&gt;80%,"佔比偏高","佔比合宜"))</f>
        <v>尚不足60%</v>
      </c>
      <c r="N3" s="228"/>
    </row>
    <row r="4" spans="1:14" s="22" customFormat="1" ht="32" customHeight="1">
      <c r="A4" s="46" t="s">
        <v>154</v>
      </c>
      <c r="B4" s="138" t="s">
        <v>13</v>
      </c>
      <c r="C4" s="137" t="s">
        <v>211</v>
      </c>
      <c r="D4" s="139" t="s">
        <v>210</v>
      </c>
      <c r="E4" s="139" t="s">
        <v>212</v>
      </c>
      <c r="F4" s="137" t="s">
        <v>213</v>
      </c>
      <c r="G4" s="137" t="s">
        <v>214</v>
      </c>
      <c r="H4" s="137" t="s">
        <v>215</v>
      </c>
      <c r="I4" s="137" t="s">
        <v>216</v>
      </c>
      <c r="J4" s="139" t="s">
        <v>217</v>
      </c>
      <c r="K4" s="137" t="s">
        <v>299</v>
      </c>
      <c r="L4" s="137" t="s">
        <v>218</v>
      </c>
      <c r="M4" s="137" t="s">
        <v>50</v>
      </c>
      <c r="N4" s="146" t="s">
        <v>300</v>
      </c>
    </row>
    <row r="5" spans="1:14" ht="25" customHeight="1">
      <c r="A5" s="47" t="s">
        <v>160</v>
      </c>
      <c r="B5" s="29">
        <v>1</v>
      </c>
      <c r="C5" s="58"/>
      <c r="D5" s="117"/>
      <c r="E5" s="117"/>
      <c r="F5" s="117"/>
      <c r="G5" s="103"/>
      <c r="H5" s="103"/>
      <c r="I5" s="132"/>
      <c r="J5" s="132"/>
      <c r="K5" s="133"/>
      <c r="L5" s="51"/>
      <c r="M5" s="52">
        <f>I5*J5*K5*L5</f>
        <v>0</v>
      </c>
      <c r="N5" s="119" t="e">
        <f>M5/'表P｜用電統計'!R$20</f>
        <v>#DIV/0!</v>
      </c>
    </row>
    <row r="6" spans="1:14" ht="25" customHeight="1">
      <c r="A6" s="48" t="s">
        <v>149</v>
      </c>
      <c r="B6" s="29">
        <v>2</v>
      </c>
      <c r="C6" s="58"/>
      <c r="D6" s="117"/>
      <c r="E6" s="117"/>
      <c r="F6" s="117"/>
      <c r="G6" s="103"/>
      <c r="H6" s="103"/>
      <c r="I6" s="132"/>
      <c r="J6" s="132"/>
      <c r="K6" s="133"/>
      <c r="L6" s="51"/>
      <c r="M6" s="52">
        <f t="shared" ref="M6:M54" si="1">I6*J6*K6*L6</f>
        <v>0</v>
      </c>
      <c r="N6" s="119" t="e">
        <f>M6/'表P｜用電統計'!R$20</f>
        <v>#DIV/0!</v>
      </c>
    </row>
    <row r="7" spans="1:14" ht="25" customHeight="1">
      <c r="B7" s="29">
        <v>3</v>
      </c>
      <c r="C7" s="58"/>
      <c r="D7" s="117"/>
      <c r="E7" s="117"/>
      <c r="F7" s="117"/>
      <c r="G7" s="103"/>
      <c r="H7" s="103"/>
      <c r="I7" s="132"/>
      <c r="J7" s="132"/>
      <c r="K7" s="133"/>
      <c r="L7" s="51"/>
      <c r="M7" s="52">
        <f t="shared" si="1"/>
        <v>0</v>
      </c>
      <c r="N7" s="119" t="e">
        <f>M7/'表P｜用電統計'!R$20</f>
        <v>#DIV/0!</v>
      </c>
    </row>
    <row r="8" spans="1:14" ht="25" customHeight="1">
      <c r="B8" s="29">
        <v>4</v>
      </c>
      <c r="C8" s="58"/>
      <c r="D8" s="117"/>
      <c r="E8" s="117"/>
      <c r="F8" s="117"/>
      <c r="G8" s="103"/>
      <c r="H8" s="103"/>
      <c r="I8" s="132"/>
      <c r="J8" s="132"/>
      <c r="K8" s="133"/>
      <c r="L8" s="51"/>
      <c r="M8" s="52">
        <f t="shared" si="1"/>
        <v>0</v>
      </c>
      <c r="N8" s="119" t="e">
        <f>M8/'表P｜用電統計'!R$20</f>
        <v>#DIV/0!</v>
      </c>
    </row>
    <row r="9" spans="1:14" ht="25" customHeight="1">
      <c r="B9" s="29">
        <v>5</v>
      </c>
      <c r="C9" s="58"/>
      <c r="D9" s="117"/>
      <c r="E9" s="117"/>
      <c r="F9" s="117"/>
      <c r="G9" s="103"/>
      <c r="H9" s="103"/>
      <c r="I9" s="132"/>
      <c r="J9" s="132"/>
      <c r="K9" s="133"/>
      <c r="L9" s="51"/>
      <c r="M9" s="52">
        <f t="shared" si="1"/>
        <v>0</v>
      </c>
      <c r="N9" s="119" t="e">
        <f>M9/'表P｜用電統計'!R$20</f>
        <v>#DIV/0!</v>
      </c>
    </row>
    <row r="10" spans="1:14" ht="25" customHeight="1">
      <c r="B10" s="29">
        <v>6</v>
      </c>
      <c r="C10" s="58"/>
      <c r="D10" s="117"/>
      <c r="E10" s="117"/>
      <c r="F10" s="117"/>
      <c r="G10" s="103"/>
      <c r="H10" s="103"/>
      <c r="I10" s="132"/>
      <c r="J10" s="132"/>
      <c r="K10" s="133"/>
      <c r="L10" s="51"/>
      <c r="M10" s="52">
        <f t="shared" si="1"/>
        <v>0</v>
      </c>
      <c r="N10" s="119" t="e">
        <f>M10/'表P｜用電統計'!R$20</f>
        <v>#DIV/0!</v>
      </c>
    </row>
    <row r="11" spans="1:14" ht="25" customHeight="1">
      <c r="B11" s="29">
        <v>7</v>
      </c>
      <c r="C11" s="58"/>
      <c r="D11" s="117"/>
      <c r="E11" s="117"/>
      <c r="F11" s="117"/>
      <c r="G11" s="103"/>
      <c r="H11" s="103"/>
      <c r="I11" s="132"/>
      <c r="J11" s="132"/>
      <c r="K11" s="133"/>
      <c r="L11" s="51"/>
      <c r="M11" s="52">
        <f t="shared" si="1"/>
        <v>0</v>
      </c>
      <c r="N11" s="119" t="e">
        <f>M11/'表P｜用電統計'!R$20</f>
        <v>#DIV/0!</v>
      </c>
    </row>
    <row r="12" spans="1:14" ht="25" customHeight="1">
      <c r="B12" s="29">
        <v>8</v>
      </c>
      <c r="C12" s="58"/>
      <c r="D12" s="117"/>
      <c r="E12" s="117"/>
      <c r="F12" s="117"/>
      <c r="G12" s="103"/>
      <c r="H12" s="103"/>
      <c r="I12" s="132"/>
      <c r="J12" s="132"/>
      <c r="K12" s="133"/>
      <c r="L12" s="51"/>
      <c r="M12" s="52">
        <f t="shared" si="1"/>
        <v>0</v>
      </c>
      <c r="N12" s="119" t="e">
        <f>M12/'表P｜用電統計'!R$20</f>
        <v>#DIV/0!</v>
      </c>
    </row>
    <row r="13" spans="1:14" ht="25" customHeight="1">
      <c r="B13" s="29">
        <v>9</v>
      </c>
      <c r="C13" s="58"/>
      <c r="D13" s="117"/>
      <c r="E13" s="117"/>
      <c r="F13" s="117"/>
      <c r="G13" s="103"/>
      <c r="H13" s="103"/>
      <c r="I13" s="122"/>
      <c r="J13" s="122"/>
      <c r="K13" s="123"/>
      <c r="L13" s="51"/>
      <c r="M13" s="52">
        <f t="shared" si="1"/>
        <v>0</v>
      </c>
      <c r="N13" s="119" t="e">
        <f>M13/'表P｜用電統計'!R$20</f>
        <v>#DIV/0!</v>
      </c>
    </row>
    <row r="14" spans="1:14" ht="25" customHeight="1">
      <c r="B14" s="29">
        <v>10</v>
      </c>
      <c r="C14" s="58"/>
      <c r="D14" s="117"/>
      <c r="E14" s="117"/>
      <c r="F14" s="117"/>
      <c r="G14" s="103"/>
      <c r="H14" s="103"/>
      <c r="I14" s="122"/>
      <c r="J14" s="122"/>
      <c r="K14" s="123"/>
      <c r="L14" s="51"/>
      <c r="M14" s="52">
        <f t="shared" si="1"/>
        <v>0</v>
      </c>
      <c r="N14" s="119" t="e">
        <f>M14/'表P｜用電統計'!R$20</f>
        <v>#DIV/0!</v>
      </c>
    </row>
    <row r="15" spans="1:14" ht="25" customHeight="1">
      <c r="B15" s="29">
        <v>11</v>
      </c>
      <c r="C15" s="58"/>
      <c r="D15" s="117"/>
      <c r="E15" s="117"/>
      <c r="F15" s="117"/>
      <c r="G15" s="103"/>
      <c r="H15" s="103"/>
      <c r="I15" s="122"/>
      <c r="J15" s="122"/>
      <c r="K15" s="123"/>
      <c r="L15" s="51"/>
      <c r="M15" s="52">
        <f t="shared" si="1"/>
        <v>0</v>
      </c>
      <c r="N15" s="119" t="e">
        <f>M15/'表P｜用電統計'!R$20</f>
        <v>#DIV/0!</v>
      </c>
    </row>
    <row r="16" spans="1:14" ht="25" customHeight="1">
      <c r="B16" s="29">
        <v>12</v>
      </c>
      <c r="C16" s="58"/>
      <c r="D16" s="117"/>
      <c r="E16" s="117"/>
      <c r="F16" s="117"/>
      <c r="G16" s="103"/>
      <c r="H16" s="103"/>
      <c r="I16" s="122"/>
      <c r="J16" s="122"/>
      <c r="K16" s="123"/>
      <c r="L16" s="51"/>
      <c r="M16" s="52">
        <f t="shared" si="1"/>
        <v>0</v>
      </c>
      <c r="N16" s="119" t="e">
        <f>M16/'表P｜用電統計'!R$20</f>
        <v>#DIV/0!</v>
      </c>
    </row>
    <row r="17" spans="2:14" ht="25" customHeight="1">
      <c r="B17" s="29">
        <v>13</v>
      </c>
      <c r="C17" s="58"/>
      <c r="D17" s="117"/>
      <c r="E17" s="117"/>
      <c r="F17" s="117"/>
      <c r="G17" s="103"/>
      <c r="H17" s="103"/>
      <c r="I17" s="122"/>
      <c r="J17" s="122"/>
      <c r="K17" s="123"/>
      <c r="L17" s="51"/>
      <c r="M17" s="52">
        <f t="shared" si="1"/>
        <v>0</v>
      </c>
      <c r="N17" s="119" t="e">
        <f>M17/'表P｜用電統計'!R$20</f>
        <v>#DIV/0!</v>
      </c>
    </row>
    <row r="18" spans="2:14" ht="25" customHeight="1">
      <c r="B18" s="29">
        <v>14</v>
      </c>
      <c r="C18" s="58"/>
      <c r="D18" s="117"/>
      <c r="E18" s="117"/>
      <c r="F18" s="117"/>
      <c r="G18" s="103"/>
      <c r="H18" s="103"/>
      <c r="I18" s="122"/>
      <c r="J18" s="122"/>
      <c r="K18" s="123"/>
      <c r="L18" s="51"/>
      <c r="M18" s="52">
        <f t="shared" si="1"/>
        <v>0</v>
      </c>
      <c r="N18" s="119" t="e">
        <f>M18/'表P｜用電統計'!R$20</f>
        <v>#DIV/0!</v>
      </c>
    </row>
    <row r="19" spans="2:14" ht="25" customHeight="1">
      <c r="B19" s="29">
        <v>15</v>
      </c>
      <c r="C19" s="58"/>
      <c r="D19" s="117"/>
      <c r="E19" s="117"/>
      <c r="F19" s="117"/>
      <c r="G19" s="103"/>
      <c r="H19" s="103"/>
      <c r="I19" s="122"/>
      <c r="J19" s="122"/>
      <c r="K19" s="123"/>
      <c r="L19" s="51"/>
      <c r="M19" s="52">
        <f t="shared" si="1"/>
        <v>0</v>
      </c>
      <c r="N19" s="119" t="e">
        <f>M19/'表P｜用電統計'!R$20</f>
        <v>#DIV/0!</v>
      </c>
    </row>
    <row r="20" spans="2:14" ht="25" customHeight="1">
      <c r="B20" s="29">
        <v>16</v>
      </c>
      <c r="C20" s="58"/>
      <c r="D20" s="117"/>
      <c r="E20" s="117"/>
      <c r="F20" s="117"/>
      <c r="G20" s="103"/>
      <c r="H20" s="103"/>
      <c r="I20" s="122"/>
      <c r="J20" s="122"/>
      <c r="K20" s="123"/>
      <c r="L20" s="51"/>
      <c r="M20" s="52">
        <f t="shared" si="1"/>
        <v>0</v>
      </c>
      <c r="N20" s="119" t="e">
        <f>M20/'表P｜用電統計'!R$20</f>
        <v>#DIV/0!</v>
      </c>
    </row>
    <row r="21" spans="2:14" ht="25" customHeight="1">
      <c r="B21" s="29">
        <v>17</v>
      </c>
      <c r="C21" s="58"/>
      <c r="D21" s="117"/>
      <c r="E21" s="117"/>
      <c r="F21" s="117"/>
      <c r="G21" s="103"/>
      <c r="H21" s="103"/>
      <c r="I21" s="122"/>
      <c r="J21" s="122"/>
      <c r="K21" s="123"/>
      <c r="L21" s="51"/>
      <c r="M21" s="52">
        <f t="shared" si="1"/>
        <v>0</v>
      </c>
      <c r="N21" s="119" t="e">
        <f>M21/'表P｜用電統計'!R$20</f>
        <v>#DIV/0!</v>
      </c>
    </row>
    <row r="22" spans="2:14" ht="25" customHeight="1">
      <c r="B22" s="29">
        <v>18</v>
      </c>
      <c r="C22" s="58"/>
      <c r="D22" s="117"/>
      <c r="E22" s="117"/>
      <c r="F22" s="117"/>
      <c r="G22" s="103"/>
      <c r="H22" s="103"/>
      <c r="I22" s="122"/>
      <c r="J22" s="122"/>
      <c r="K22" s="123"/>
      <c r="L22" s="51"/>
      <c r="M22" s="52">
        <f t="shared" si="1"/>
        <v>0</v>
      </c>
      <c r="N22" s="119" t="e">
        <f>M22/'表P｜用電統計'!R$20</f>
        <v>#DIV/0!</v>
      </c>
    </row>
    <row r="23" spans="2:14" ht="25" customHeight="1">
      <c r="B23" s="29">
        <v>19</v>
      </c>
      <c r="C23" s="58"/>
      <c r="D23" s="117"/>
      <c r="E23" s="117"/>
      <c r="F23" s="117"/>
      <c r="G23" s="103"/>
      <c r="H23" s="103"/>
      <c r="I23" s="122"/>
      <c r="J23" s="122"/>
      <c r="K23" s="123"/>
      <c r="L23" s="51"/>
      <c r="M23" s="52">
        <f t="shared" si="1"/>
        <v>0</v>
      </c>
      <c r="N23" s="119" t="e">
        <f>M23/'表P｜用電統計'!R$20</f>
        <v>#DIV/0!</v>
      </c>
    </row>
    <row r="24" spans="2:14" ht="25" customHeight="1">
      <c r="B24" s="29">
        <v>20</v>
      </c>
      <c r="C24" s="58"/>
      <c r="D24" s="117"/>
      <c r="E24" s="117"/>
      <c r="F24" s="117"/>
      <c r="G24" s="103"/>
      <c r="H24" s="103"/>
      <c r="I24" s="122"/>
      <c r="J24" s="122"/>
      <c r="K24" s="123"/>
      <c r="L24" s="51"/>
      <c r="M24" s="52">
        <f t="shared" si="1"/>
        <v>0</v>
      </c>
      <c r="N24" s="119" t="e">
        <f>M24/'表P｜用電統計'!R$20</f>
        <v>#DIV/0!</v>
      </c>
    </row>
    <row r="25" spans="2:14" ht="25" customHeight="1">
      <c r="B25" s="29">
        <v>21</v>
      </c>
      <c r="C25" s="58"/>
      <c r="D25" s="117"/>
      <c r="E25" s="117"/>
      <c r="F25" s="117"/>
      <c r="G25" s="103"/>
      <c r="H25" s="103"/>
      <c r="I25" s="122"/>
      <c r="J25" s="122"/>
      <c r="K25" s="123"/>
      <c r="L25" s="51"/>
      <c r="M25" s="52">
        <f t="shared" si="1"/>
        <v>0</v>
      </c>
      <c r="N25" s="119" t="e">
        <f>M25/'表P｜用電統計'!R$20</f>
        <v>#DIV/0!</v>
      </c>
    </row>
    <row r="26" spans="2:14" ht="25" customHeight="1">
      <c r="B26" s="29">
        <v>22</v>
      </c>
      <c r="C26" s="58"/>
      <c r="D26" s="117"/>
      <c r="E26" s="117"/>
      <c r="F26" s="117"/>
      <c r="G26" s="103"/>
      <c r="H26" s="103"/>
      <c r="I26" s="122"/>
      <c r="J26" s="122"/>
      <c r="K26" s="123"/>
      <c r="L26" s="51"/>
      <c r="M26" s="52">
        <f t="shared" si="1"/>
        <v>0</v>
      </c>
      <c r="N26" s="119" t="e">
        <f>M26/'表P｜用電統計'!R$20</f>
        <v>#DIV/0!</v>
      </c>
    </row>
    <row r="27" spans="2:14" ht="25" customHeight="1">
      <c r="B27" s="29">
        <v>23</v>
      </c>
      <c r="C27" s="58"/>
      <c r="D27" s="117"/>
      <c r="E27" s="117"/>
      <c r="F27" s="117"/>
      <c r="G27" s="103"/>
      <c r="H27" s="103"/>
      <c r="I27" s="122"/>
      <c r="J27" s="122"/>
      <c r="K27" s="123"/>
      <c r="L27" s="51"/>
      <c r="M27" s="52">
        <f t="shared" si="1"/>
        <v>0</v>
      </c>
      <c r="N27" s="119" t="e">
        <f>M27/'表P｜用電統計'!R$20</f>
        <v>#DIV/0!</v>
      </c>
    </row>
    <row r="28" spans="2:14" ht="25" customHeight="1">
      <c r="B28" s="29">
        <v>24</v>
      </c>
      <c r="C28" s="58"/>
      <c r="D28" s="117"/>
      <c r="E28" s="117"/>
      <c r="F28" s="117"/>
      <c r="G28" s="103"/>
      <c r="H28" s="103"/>
      <c r="I28" s="122"/>
      <c r="J28" s="122"/>
      <c r="K28" s="123"/>
      <c r="L28" s="51"/>
      <c r="M28" s="52">
        <f t="shared" si="1"/>
        <v>0</v>
      </c>
      <c r="N28" s="119" t="e">
        <f>M28/'表P｜用電統計'!R$20</f>
        <v>#DIV/0!</v>
      </c>
    </row>
    <row r="29" spans="2:14" ht="25" customHeight="1">
      <c r="B29" s="29">
        <v>25</v>
      </c>
      <c r="C29" s="58"/>
      <c r="D29" s="117"/>
      <c r="E29" s="117"/>
      <c r="F29" s="117"/>
      <c r="G29" s="103"/>
      <c r="H29" s="103"/>
      <c r="I29" s="122"/>
      <c r="J29" s="122"/>
      <c r="K29" s="123"/>
      <c r="L29" s="51"/>
      <c r="M29" s="52">
        <f t="shared" si="1"/>
        <v>0</v>
      </c>
      <c r="N29" s="119" t="e">
        <f>M29/'表P｜用電統計'!R$20</f>
        <v>#DIV/0!</v>
      </c>
    </row>
    <row r="30" spans="2:14" ht="25" customHeight="1">
      <c r="B30" s="29">
        <v>26</v>
      </c>
      <c r="C30" s="58"/>
      <c r="D30" s="117"/>
      <c r="E30" s="117"/>
      <c r="F30" s="117"/>
      <c r="G30" s="103"/>
      <c r="H30" s="103"/>
      <c r="I30" s="122"/>
      <c r="J30" s="122"/>
      <c r="K30" s="123"/>
      <c r="L30" s="51"/>
      <c r="M30" s="52">
        <f t="shared" si="1"/>
        <v>0</v>
      </c>
      <c r="N30" s="119" t="e">
        <f>M30/'表P｜用電統計'!R$20</f>
        <v>#DIV/0!</v>
      </c>
    </row>
    <row r="31" spans="2:14" ht="25" customHeight="1">
      <c r="B31" s="29">
        <v>27</v>
      </c>
      <c r="C31" s="58"/>
      <c r="D31" s="117"/>
      <c r="E31" s="117"/>
      <c r="F31" s="117"/>
      <c r="G31" s="103"/>
      <c r="H31" s="103"/>
      <c r="I31" s="122"/>
      <c r="J31" s="122"/>
      <c r="K31" s="123"/>
      <c r="L31" s="51"/>
      <c r="M31" s="52">
        <f t="shared" si="1"/>
        <v>0</v>
      </c>
      <c r="N31" s="119" t="e">
        <f>M31/'表P｜用電統計'!R$20</f>
        <v>#DIV/0!</v>
      </c>
    </row>
    <row r="32" spans="2:14" ht="25" customHeight="1">
      <c r="B32" s="29">
        <v>28</v>
      </c>
      <c r="C32" s="58"/>
      <c r="D32" s="117"/>
      <c r="E32" s="117"/>
      <c r="F32" s="117"/>
      <c r="G32" s="103"/>
      <c r="H32" s="103"/>
      <c r="I32" s="122"/>
      <c r="J32" s="122"/>
      <c r="K32" s="123"/>
      <c r="L32" s="51"/>
      <c r="M32" s="52">
        <f t="shared" si="1"/>
        <v>0</v>
      </c>
      <c r="N32" s="119" t="e">
        <f>M32/'表P｜用電統計'!R$20</f>
        <v>#DIV/0!</v>
      </c>
    </row>
    <row r="33" spans="2:14" ht="25" customHeight="1">
      <c r="B33" s="29">
        <v>29</v>
      </c>
      <c r="C33" s="58"/>
      <c r="D33" s="117"/>
      <c r="E33" s="117"/>
      <c r="F33" s="117"/>
      <c r="G33" s="103"/>
      <c r="H33" s="103"/>
      <c r="I33" s="122"/>
      <c r="J33" s="122"/>
      <c r="K33" s="123"/>
      <c r="L33" s="51"/>
      <c r="M33" s="52">
        <f t="shared" si="1"/>
        <v>0</v>
      </c>
      <c r="N33" s="119" t="e">
        <f>M33/'表P｜用電統計'!R$20</f>
        <v>#DIV/0!</v>
      </c>
    </row>
    <row r="34" spans="2:14" ht="25" customHeight="1">
      <c r="B34" s="29">
        <v>30</v>
      </c>
      <c r="C34" s="58"/>
      <c r="D34" s="117"/>
      <c r="E34" s="117"/>
      <c r="F34" s="117"/>
      <c r="G34" s="103"/>
      <c r="H34" s="103"/>
      <c r="I34" s="122"/>
      <c r="J34" s="122"/>
      <c r="K34" s="123"/>
      <c r="L34" s="51"/>
      <c r="M34" s="52">
        <f t="shared" si="1"/>
        <v>0</v>
      </c>
      <c r="N34" s="119" t="e">
        <f>M34/'表P｜用電統計'!R$20</f>
        <v>#DIV/0!</v>
      </c>
    </row>
    <row r="35" spans="2:14" ht="25" customHeight="1">
      <c r="B35" s="29">
        <v>31</v>
      </c>
      <c r="C35" s="58"/>
      <c r="D35" s="117"/>
      <c r="E35" s="117"/>
      <c r="F35" s="117"/>
      <c r="G35" s="103"/>
      <c r="H35" s="103"/>
      <c r="I35" s="122"/>
      <c r="J35" s="122"/>
      <c r="K35" s="123"/>
      <c r="L35" s="51"/>
      <c r="M35" s="52">
        <f t="shared" si="1"/>
        <v>0</v>
      </c>
      <c r="N35" s="119" t="e">
        <f>M35/'表P｜用電統計'!R$20</f>
        <v>#DIV/0!</v>
      </c>
    </row>
    <row r="36" spans="2:14" ht="25" customHeight="1">
      <c r="B36" s="29">
        <v>32</v>
      </c>
      <c r="C36" s="58"/>
      <c r="D36" s="117"/>
      <c r="E36" s="117"/>
      <c r="F36" s="117"/>
      <c r="G36" s="103"/>
      <c r="H36" s="103"/>
      <c r="I36" s="122"/>
      <c r="J36" s="122"/>
      <c r="K36" s="123"/>
      <c r="L36" s="51"/>
      <c r="M36" s="52">
        <f t="shared" si="1"/>
        <v>0</v>
      </c>
      <c r="N36" s="119" t="e">
        <f>M36/'表P｜用電統計'!R$20</f>
        <v>#DIV/0!</v>
      </c>
    </row>
    <row r="37" spans="2:14" ht="25" customHeight="1">
      <c r="B37" s="29">
        <v>33</v>
      </c>
      <c r="C37" s="58"/>
      <c r="D37" s="117"/>
      <c r="E37" s="117"/>
      <c r="F37" s="117"/>
      <c r="G37" s="103"/>
      <c r="H37" s="103"/>
      <c r="I37" s="122"/>
      <c r="J37" s="122"/>
      <c r="K37" s="123"/>
      <c r="L37" s="51"/>
      <c r="M37" s="52">
        <f t="shared" si="1"/>
        <v>0</v>
      </c>
      <c r="N37" s="119" t="e">
        <f>M37/'表P｜用電統計'!R$20</f>
        <v>#DIV/0!</v>
      </c>
    </row>
    <row r="38" spans="2:14" ht="25" customHeight="1">
      <c r="B38" s="29">
        <v>34</v>
      </c>
      <c r="C38" s="58"/>
      <c r="D38" s="117"/>
      <c r="E38" s="117"/>
      <c r="F38" s="117"/>
      <c r="G38" s="103"/>
      <c r="H38" s="103"/>
      <c r="I38" s="122"/>
      <c r="J38" s="122"/>
      <c r="K38" s="123"/>
      <c r="L38" s="51"/>
      <c r="M38" s="52">
        <f t="shared" si="1"/>
        <v>0</v>
      </c>
      <c r="N38" s="119" t="e">
        <f>M38/'表P｜用電統計'!R$20</f>
        <v>#DIV/0!</v>
      </c>
    </row>
    <row r="39" spans="2:14" ht="25" customHeight="1">
      <c r="B39" s="29">
        <v>35</v>
      </c>
      <c r="C39" s="58"/>
      <c r="D39" s="117"/>
      <c r="E39" s="117"/>
      <c r="F39" s="117"/>
      <c r="G39" s="103"/>
      <c r="H39" s="103"/>
      <c r="I39" s="122"/>
      <c r="J39" s="122"/>
      <c r="K39" s="123"/>
      <c r="L39" s="51"/>
      <c r="M39" s="52">
        <f t="shared" si="1"/>
        <v>0</v>
      </c>
      <c r="N39" s="119" t="e">
        <f>M39/'表P｜用電統計'!R$20</f>
        <v>#DIV/0!</v>
      </c>
    </row>
    <row r="40" spans="2:14" ht="25" customHeight="1">
      <c r="B40" s="29">
        <v>36</v>
      </c>
      <c r="C40" s="58"/>
      <c r="D40" s="117"/>
      <c r="E40" s="117"/>
      <c r="F40" s="117"/>
      <c r="G40" s="103"/>
      <c r="H40" s="103"/>
      <c r="I40" s="122"/>
      <c r="J40" s="122"/>
      <c r="K40" s="123"/>
      <c r="L40" s="51"/>
      <c r="M40" s="52">
        <f t="shared" si="1"/>
        <v>0</v>
      </c>
      <c r="N40" s="119" t="e">
        <f>M40/'表P｜用電統計'!R$20</f>
        <v>#DIV/0!</v>
      </c>
    </row>
    <row r="41" spans="2:14" ht="25" customHeight="1">
      <c r="B41" s="29">
        <v>37</v>
      </c>
      <c r="C41" s="58"/>
      <c r="D41" s="117"/>
      <c r="E41" s="117"/>
      <c r="F41" s="117"/>
      <c r="G41" s="103"/>
      <c r="H41" s="103"/>
      <c r="I41" s="122"/>
      <c r="J41" s="122"/>
      <c r="K41" s="123"/>
      <c r="L41" s="51"/>
      <c r="M41" s="52">
        <f t="shared" si="1"/>
        <v>0</v>
      </c>
      <c r="N41" s="119" t="e">
        <f>M41/'表P｜用電統計'!R$20</f>
        <v>#DIV/0!</v>
      </c>
    </row>
    <row r="42" spans="2:14" ht="25" customHeight="1">
      <c r="B42" s="29">
        <v>38</v>
      </c>
      <c r="C42" s="58"/>
      <c r="D42" s="117"/>
      <c r="E42" s="117"/>
      <c r="F42" s="117"/>
      <c r="G42" s="103"/>
      <c r="H42" s="103"/>
      <c r="I42" s="122"/>
      <c r="J42" s="122"/>
      <c r="K42" s="123"/>
      <c r="L42" s="51"/>
      <c r="M42" s="52">
        <f t="shared" si="1"/>
        <v>0</v>
      </c>
      <c r="N42" s="119" t="e">
        <f>M42/'表P｜用電統計'!R$20</f>
        <v>#DIV/0!</v>
      </c>
    </row>
    <row r="43" spans="2:14" ht="25" customHeight="1">
      <c r="B43" s="29">
        <v>39</v>
      </c>
      <c r="C43" s="58"/>
      <c r="D43" s="117"/>
      <c r="E43" s="117"/>
      <c r="F43" s="117"/>
      <c r="G43" s="103"/>
      <c r="H43" s="103"/>
      <c r="I43" s="122"/>
      <c r="J43" s="122"/>
      <c r="K43" s="123"/>
      <c r="L43" s="51"/>
      <c r="M43" s="52">
        <f t="shared" si="1"/>
        <v>0</v>
      </c>
      <c r="N43" s="119" t="e">
        <f>M43/'表P｜用電統計'!R$20</f>
        <v>#DIV/0!</v>
      </c>
    </row>
    <row r="44" spans="2:14" ht="25" customHeight="1">
      <c r="B44" s="29">
        <v>40</v>
      </c>
      <c r="C44" s="58"/>
      <c r="D44" s="117"/>
      <c r="E44" s="117"/>
      <c r="F44" s="117"/>
      <c r="G44" s="103"/>
      <c r="H44" s="103"/>
      <c r="I44" s="122"/>
      <c r="J44" s="122"/>
      <c r="K44" s="123"/>
      <c r="L44" s="51"/>
      <c r="M44" s="52">
        <f t="shared" si="1"/>
        <v>0</v>
      </c>
      <c r="N44" s="119" t="e">
        <f>M44/'表P｜用電統計'!R$20</f>
        <v>#DIV/0!</v>
      </c>
    </row>
    <row r="45" spans="2:14" ht="25" customHeight="1">
      <c r="B45" s="29">
        <v>41</v>
      </c>
      <c r="C45" s="58"/>
      <c r="D45" s="117"/>
      <c r="E45" s="117"/>
      <c r="F45" s="117"/>
      <c r="G45" s="103"/>
      <c r="H45" s="103"/>
      <c r="I45" s="122"/>
      <c r="J45" s="122"/>
      <c r="K45" s="123"/>
      <c r="L45" s="51"/>
      <c r="M45" s="52">
        <f t="shared" si="1"/>
        <v>0</v>
      </c>
      <c r="N45" s="119" t="e">
        <f>M45/'表P｜用電統計'!R$20</f>
        <v>#DIV/0!</v>
      </c>
    </row>
    <row r="46" spans="2:14" ht="25" customHeight="1">
      <c r="B46" s="29">
        <v>42</v>
      </c>
      <c r="C46" s="58"/>
      <c r="D46" s="117"/>
      <c r="E46" s="117"/>
      <c r="F46" s="117"/>
      <c r="G46" s="103"/>
      <c r="H46" s="103"/>
      <c r="I46" s="122"/>
      <c r="J46" s="122"/>
      <c r="K46" s="123"/>
      <c r="L46" s="51"/>
      <c r="M46" s="52">
        <f t="shared" si="1"/>
        <v>0</v>
      </c>
      <c r="N46" s="119" t="e">
        <f>M46/'表P｜用電統計'!R$20</f>
        <v>#DIV/0!</v>
      </c>
    </row>
    <row r="47" spans="2:14" ht="25" customHeight="1">
      <c r="B47" s="29">
        <v>43</v>
      </c>
      <c r="C47" s="58"/>
      <c r="D47" s="117"/>
      <c r="E47" s="117"/>
      <c r="F47" s="117"/>
      <c r="G47" s="103"/>
      <c r="H47" s="103"/>
      <c r="I47" s="122"/>
      <c r="J47" s="122"/>
      <c r="K47" s="123"/>
      <c r="L47" s="51"/>
      <c r="M47" s="52">
        <f t="shared" si="1"/>
        <v>0</v>
      </c>
      <c r="N47" s="119" t="e">
        <f>M47/'表P｜用電統計'!R$20</f>
        <v>#DIV/0!</v>
      </c>
    </row>
    <row r="48" spans="2:14" ht="25" customHeight="1">
      <c r="B48" s="29">
        <v>44</v>
      </c>
      <c r="C48" s="58"/>
      <c r="D48" s="117"/>
      <c r="E48" s="117"/>
      <c r="F48" s="117"/>
      <c r="G48" s="103"/>
      <c r="H48" s="103"/>
      <c r="I48" s="122"/>
      <c r="J48" s="122"/>
      <c r="K48" s="123"/>
      <c r="L48" s="51"/>
      <c r="M48" s="52">
        <f t="shared" si="1"/>
        <v>0</v>
      </c>
      <c r="N48" s="119" t="e">
        <f>M48/'表P｜用電統計'!R$20</f>
        <v>#DIV/0!</v>
      </c>
    </row>
    <row r="49" spans="2:14" ht="25" customHeight="1">
      <c r="B49" s="29">
        <v>45</v>
      </c>
      <c r="C49" s="58"/>
      <c r="D49" s="117"/>
      <c r="E49" s="117"/>
      <c r="F49" s="117"/>
      <c r="G49" s="103"/>
      <c r="H49" s="103"/>
      <c r="I49" s="122"/>
      <c r="J49" s="122"/>
      <c r="K49" s="123"/>
      <c r="L49" s="51"/>
      <c r="M49" s="52">
        <f t="shared" si="1"/>
        <v>0</v>
      </c>
      <c r="N49" s="119" t="e">
        <f>M49/'表P｜用電統計'!R$20</f>
        <v>#DIV/0!</v>
      </c>
    </row>
    <row r="50" spans="2:14" ht="25" customHeight="1">
      <c r="B50" s="29">
        <v>46</v>
      </c>
      <c r="C50" s="58"/>
      <c r="D50" s="117"/>
      <c r="E50" s="117"/>
      <c r="F50" s="117"/>
      <c r="G50" s="103"/>
      <c r="H50" s="103"/>
      <c r="I50" s="122"/>
      <c r="J50" s="122"/>
      <c r="K50" s="123"/>
      <c r="L50" s="51"/>
      <c r="M50" s="52">
        <f t="shared" si="1"/>
        <v>0</v>
      </c>
      <c r="N50" s="119" t="e">
        <f>M50/'表P｜用電統計'!R$20</f>
        <v>#DIV/0!</v>
      </c>
    </row>
    <row r="51" spans="2:14" ht="25" customHeight="1">
      <c r="B51" s="29">
        <v>47</v>
      </c>
      <c r="C51" s="58"/>
      <c r="D51" s="117"/>
      <c r="E51" s="117"/>
      <c r="F51" s="117"/>
      <c r="G51" s="103"/>
      <c r="H51" s="103"/>
      <c r="I51" s="122"/>
      <c r="J51" s="122"/>
      <c r="K51" s="123"/>
      <c r="L51" s="51"/>
      <c r="M51" s="52">
        <f t="shared" si="1"/>
        <v>0</v>
      </c>
      <c r="N51" s="119" t="e">
        <f>M51/'表P｜用電統計'!R$20</f>
        <v>#DIV/0!</v>
      </c>
    </row>
    <row r="52" spans="2:14" ht="25" customHeight="1">
      <c r="B52" s="29">
        <v>48</v>
      </c>
      <c r="C52" s="58"/>
      <c r="D52" s="117"/>
      <c r="E52" s="117"/>
      <c r="F52" s="117"/>
      <c r="G52" s="103"/>
      <c r="H52" s="103"/>
      <c r="I52" s="122"/>
      <c r="J52" s="122"/>
      <c r="K52" s="123"/>
      <c r="L52" s="51"/>
      <c r="M52" s="52">
        <f t="shared" si="1"/>
        <v>0</v>
      </c>
      <c r="N52" s="119" t="e">
        <f>M52/'表P｜用電統計'!R$20</f>
        <v>#DIV/0!</v>
      </c>
    </row>
    <row r="53" spans="2:14" ht="25" customHeight="1">
      <c r="B53" s="29">
        <v>49</v>
      </c>
      <c r="C53" s="58"/>
      <c r="D53" s="117"/>
      <c r="E53" s="117"/>
      <c r="F53" s="117"/>
      <c r="G53" s="103"/>
      <c r="H53" s="103"/>
      <c r="I53" s="122"/>
      <c r="J53" s="122"/>
      <c r="K53" s="123"/>
      <c r="L53" s="51"/>
      <c r="M53" s="52">
        <f t="shared" si="1"/>
        <v>0</v>
      </c>
      <c r="N53" s="119" t="e">
        <f>M53/'表P｜用電統計'!R$20</f>
        <v>#DIV/0!</v>
      </c>
    </row>
    <row r="54" spans="2:14" ht="25" customHeight="1" thickBot="1">
      <c r="B54" s="106">
        <v>50</v>
      </c>
      <c r="C54" s="105"/>
      <c r="D54" s="118"/>
      <c r="E54" s="118"/>
      <c r="F54" s="118"/>
      <c r="G54" s="104"/>
      <c r="H54" s="104"/>
      <c r="I54" s="124"/>
      <c r="J54" s="124"/>
      <c r="K54" s="125"/>
      <c r="L54" s="121"/>
      <c r="M54" s="54">
        <f t="shared" si="1"/>
        <v>0</v>
      </c>
      <c r="N54" s="120" t="e">
        <f>M54/'表P｜用電統計'!R$20</f>
        <v>#DIV/0!</v>
      </c>
    </row>
    <row r="55" spans="2:14" ht="16" customHeight="1">
      <c r="B55" s="31" t="s">
        <v>219</v>
      </c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spans="2:14" ht="16" customHeight="1">
      <c r="B56" s="31" t="s">
        <v>220</v>
      </c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 spans="2:14" ht="16" customHeight="1">
      <c r="B57" s="217" t="s">
        <v>221</v>
      </c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</row>
    <row r="58" spans="2:14" ht="16" customHeight="1">
      <c r="B58" s="217" t="s">
        <v>101</v>
      </c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</row>
    <row r="59" spans="2:14" ht="16" customHeight="1">
      <c r="B59" s="216" t="s">
        <v>49</v>
      </c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</row>
  </sheetData>
  <mergeCells count="7">
    <mergeCell ref="B59:N59"/>
    <mergeCell ref="B58:N58"/>
    <mergeCell ref="B1:N1"/>
    <mergeCell ref="B57:N57"/>
    <mergeCell ref="B2:C3"/>
    <mergeCell ref="M2:N2"/>
    <mergeCell ref="M3:N3"/>
  </mergeCells>
  <phoneticPr fontId="1" type="noConversion"/>
  <dataValidations count="1">
    <dataValidation type="list" allowBlank="1" showInputMessage="1" showErrorMessage="1" sqref="C5:C54" xr:uid="{E726BB19-B0B4-433A-BA9F-6A53BC6FC42C}">
      <formula1>#REF!</formula1>
    </dataValidation>
  </dataValidations>
  <hyperlinks>
    <hyperlink ref="A2" location="目錄!A1" display="回目錄頁 ↩" xr:uid="{E42A95CE-5A45-4A28-B47D-F60268433871}"/>
    <hyperlink ref="A3" location="預設選單欄位設定!A1" display="預設選單欄位設定 ➠" xr:uid="{11A0C079-B69C-4586-AEE3-07C395E06066}"/>
  </hyperlinks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74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9C12-F916-4325-8EE7-D6DF3DB1AE72}">
  <dimension ref="A1:U20"/>
  <sheetViews>
    <sheetView zoomScale="70" zoomScaleNormal="70" workbookViewId="0">
      <selection activeCell="B1" sqref="B1:U1"/>
    </sheetView>
  </sheetViews>
  <sheetFormatPr defaultColWidth="10.81640625" defaultRowHeight="15.5"/>
  <cols>
    <col min="1" max="1" width="20.6328125" style="18" customWidth="1"/>
    <col min="2" max="2" width="16.6328125" style="18" customWidth="1"/>
    <col min="3" max="3" width="14.6328125" style="18" customWidth="1"/>
    <col min="4" max="18" width="10.6328125" style="18" customWidth="1"/>
    <col min="19" max="16384" width="10.81640625" style="18"/>
  </cols>
  <sheetData>
    <row r="1" spans="1:21" ht="40" customHeight="1" thickBot="1">
      <c r="A1" s="17"/>
      <c r="B1" s="330" t="s">
        <v>317</v>
      </c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2"/>
    </row>
    <row r="2" spans="1:21" ht="25" customHeight="1">
      <c r="A2" s="50" t="s">
        <v>151</v>
      </c>
      <c r="B2" s="233" t="s">
        <v>302</v>
      </c>
      <c r="C2" s="204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4"/>
    </row>
    <row r="3" spans="1:21" ht="25" customHeight="1">
      <c r="A3" s="50" t="s">
        <v>152</v>
      </c>
      <c r="B3" s="156" t="s">
        <v>212</v>
      </c>
      <c r="C3" s="177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4"/>
    </row>
    <row r="4" spans="1:21" ht="25" customHeight="1">
      <c r="A4" s="46" t="s">
        <v>154</v>
      </c>
      <c r="B4" s="197" t="s">
        <v>303</v>
      </c>
      <c r="C4" s="195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9"/>
    </row>
    <row r="5" spans="1:21" ht="25" customHeight="1">
      <c r="A5" s="47" t="s">
        <v>160</v>
      </c>
      <c r="B5" s="156" t="s">
        <v>304</v>
      </c>
      <c r="C5" s="177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9"/>
    </row>
    <row r="6" spans="1:21" ht="25" customHeight="1">
      <c r="A6" s="48" t="s">
        <v>149</v>
      </c>
      <c r="B6" s="156" t="s">
        <v>305</v>
      </c>
      <c r="C6" s="177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9"/>
    </row>
    <row r="7" spans="1:21" ht="25" customHeight="1">
      <c r="B7" s="156" t="s">
        <v>306</v>
      </c>
      <c r="C7" s="177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9"/>
    </row>
    <row r="8" spans="1:21" ht="25" customHeight="1">
      <c r="B8" s="197" t="s">
        <v>307</v>
      </c>
      <c r="C8" s="149" t="s">
        <v>308</v>
      </c>
      <c r="D8" s="335"/>
      <c r="E8" s="335"/>
      <c r="F8" s="335"/>
      <c r="G8" s="335"/>
      <c r="H8" s="335"/>
      <c r="I8" s="335"/>
      <c r="J8" s="335"/>
      <c r="K8" s="335"/>
      <c r="L8" s="335"/>
      <c r="M8" s="335"/>
      <c r="N8" s="335"/>
      <c r="O8" s="335"/>
      <c r="P8" s="335"/>
      <c r="Q8" s="335"/>
      <c r="R8" s="335"/>
      <c r="S8" s="335"/>
      <c r="T8" s="335"/>
      <c r="U8" s="336"/>
    </row>
    <row r="9" spans="1:21" ht="25" customHeight="1">
      <c r="B9" s="197"/>
      <c r="C9" s="149" t="s">
        <v>309</v>
      </c>
      <c r="D9" s="335"/>
      <c r="E9" s="335"/>
      <c r="F9" s="335"/>
      <c r="G9" s="335"/>
      <c r="H9" s="335"/>
      <c r="I9" s="335"/>
      <c r="J9" s="335"/>
      <c r="K9" s="335"/>
      <c r="L9" s="335"/>
      <c r="M9" s="335"/>
      <c r="N9" s="335"/>
      <c r="O9" s="335"/>
      <c r="P9" s="335"/>
      <c r="Q9" s="335"/>
      <c r="R9" s="335"/>
      <c r="S9" s="335"/>
      <c r="T9" s="335"/>
      <c r="U9" s="336"/>
    </row>
    <row r="10" spans="1:21" ht="25" customHeight="1">
      <c r="B10" s="197"/>
      <c r="C10" s="149" t="s">
        <v>310</v>
      </c>
      <c r="D10" s="335"/>
      <c r="E10" s="335"/>
      <c r="F10" s="335"/>
      <c r="G10" s="335"/>
      <c r="H10" s="335"/>
      <c r="I10" s="335"/>
      <c r="J10" s="335"/>
      <c r="K10" s="335"/>
      <c r="L10" s="335"/>
      <c r="M10" s="335"/>
      <c r="N10" s="335"/>
      <c r="O10" s="335"/>
      <c r="P10" s="335"/>
      <c r="Q10" s="335"/>
      <c r="R10" s="335"/>
      <c r="S10" s="335"/>
      <c r="T10" s="335"/>
      <c r="U10" s="336"/>
    </row>
    <row r="11" spans="1:21" ht="25" customHeight="1">
      <c r="B11" s="197"/>
      <c r="C11" s="149" t="s">
        <v>311</v>
      </c>
      <c r="D11" s="335"/>
      <c r="E11" s="335"/>
      <c r="F11" s="335"/>
      <c r="G11" s="335"/>
      <c r="H11" s="335"/>
      <c r="I11" s="335"/>
      <c r="J11" s="335"/>
      <c r="K11" s="335"/>
      <c r="L11" s="335"/>
      <c r="M11" s="335"/>
      <c r="N11" s="335"/>
      <c r="O11" s="335"/>
      <c r="P11" s="335"/>
      <c r="Q11" s="335"/>
      <c r="R11" s="335"/>
      <c r="S11" s="335"/>
      <c r="T11" s="335"/>
      <c r="U11" s="336"/>
    </row>
    <row r="12" spans="1:21" ht="25" customHeight="1">
      <c r="B12" s="197" t="s">
        <v>312</v>
      </c>
      <c r="C12" s="149" t="s">
        <v>308</v>
      </c>
      <c r="D12" s="335"/>
      <c r="E12" s="335"/>
      <c r="F12" s="335"/>
      <c r="G12" s="335"/>
      <c r="H12" s="335"/>
      <c r="I12" s="335"/>
      <c r="J12" s="335"/>
      <c r="K12" s="335"/>
      <c r="L12" s="335"/>
      <c r="M12" s="335"/>
      <c r="N12" s="335"/>
      <c r="O12" s="335"/>
      <c r="P12" s="335"/>
      <c r="Q12" s="335"/>
      <c r="R12" s="335"/>
      <c r="S12" s="335"/>
      <c r="T12" s="335"/>
      <c r="U12" s="336"/>
    </row>
    <row r="13" spans="1:21" ht="25" customHeight="1">
      <c r="B13" s="197"/>
      <c r="C13" s="149" t="s">
        <v>309</v>
      </c>
      <c r="D13" s="335"/>
      <c r="E13" s="335"/>
      <c r="F13" s="335"/>
      <c r="G13" s="335"/>
      <c r="H13" s="335"/>
      <c r="I13" s="335"/>
      <c r="J13" s="335"/>
      <c r="K13" s="335"/>
      <c r="L13" s="335"/>
      <c r="M13" s="335"/>
      <c r="N13" s="335"/>
      <c r="O13" s="335"/>
      <c r="P13" s="335"/>
      <c r="Q13" s="335"/>
      <c r="R13" s="335"/>
      <c r="S13" s="335"/>
      <c r="T13" s="335"/>
      <c r="U13" s="336"/>
    </row>
    <row r="14" spans="1:21" ht="25" customHeight="1">
      <c r="B14" s="197"/>
      <c r="C14" s="149" t="s">
        <v>310</v>
      </c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335"/>
      <c r="O14" s="335"/>
      <c r="P14" s="335"/>
      <c r="Q14" s="335"/>
      <c r="R14" s="335"/>
      <c r="S14" s="335"/>
      <c r="T14" s="335"/>
      <c r="U14" s="336"/>
    </row>
    <row r="15" spans="1:21" ht="25" customHeight="1">
      <c r="B15" s="197"/>
      <c r="C15" s="149" t="s">
        <v>311</v>
      </c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5"/>
      <c r="Q15" s="335"/>
      <c r="R15" s="335"/>
      <c r="S15" s="335"/>
      <c r="T15" s="335"/>
      <c r="U15" s="336"/>
    </row>
    <row r="16" spans="1:21" ht="25" customHeight="1">
      <c r="B16" s="197" t="s">
        <v>313</v>
      </c>
      <c r="C16" s="195"/>
      <c r="D16" s="335"/>
      <c r="E16" s="335"/>
      <c r="F16" s="335"/>
      <c r="G16" s="335"/>
      <c r="H16" s="335"/>
      <c r="I16" s="335"/>
      <c r="J16" s="335"/>
      <c r="K16" s="335"/>
      <c r="L16" s="335"/>
      <c r="M16" s="335"/>
      <c r="N16" s="335"/>
      <c r="O16" s="335"/>
      <c r="P16" s="335"/>
      <c r="Q16" s="335"/>
      <c r="R16" s="335"/>
      <c r="S16" s="335"/>
      <c r="T16" s="335"/>
      <c r="U16" s="336"/>
    </row>
    <row r="17" spans="2:21" ht="25" customHeight="1" thickBot="1">
      <c r="B17" s="231" t="s">
        <v>314</v>
      </c>
      <c r="C17" s="232"/>
      <c r="D17" s="337"/>
      <c r="E17" s="337"/>
      <c r="F17" s="337"/>
      <c r="G17" s="337"/>
      <c r="H17" s="337"/>
      <c r="I17" s="337"/>
      <c r="J17" s="337"/>
      <c r="K17" s="337"/>
      <c r="L17" s="337"/>
      <c r="M17" s="337"/>
      <c r="N17" s="337"/>
      <c r="O17" s="337"/>
      <c r="P17" s="337"/>
      <c r="Q17" s="337"/>
      <c r="R17" s="337"/>
      <c r="S17" s="337"/>
      <c r="T17" s="337"/>
      <c r="U17" s="338"/>
    </row>
    <row r="18" spans="2:21" ht="25" customHeight="1">
      <c r="B18" s="339" t="s">
        <v>315</v>
      </c>
      <c r="C18" s="339"/>
      <c r="D18" s="339"/>
      <c r="E18" s="339"/>
      <c r="F18" s="339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</row>
    <row r="19" spans="2:21" ht="190" customHeight="1">
      <c r="B19" s="151" t="s">
        <v>316</v>
      </c>
      <c r="C19" s="151"/>
      <c r="D19" s="151"/>
      <c r="E19" s="151"/>
      <c r="F19" s="151"/>
    </row>
    <row r="20" spans="2:21" ht="16">
      <c r="B20" s="340" t="s">
        <v>41</v>
      </c>
      <c r="C20" s="340"/>
      <c r="D20" s="340"/>
      <c r="E20" s="340"/>
    </row>
  </sheetData>
  <mergeCells count="109">
    <mergeCell ref="B18:F18"/>
    <mergeCell ref="B19:F19"/>
    <mergeCell ref="S16:U16"/>
    <mergeCell ref="B17:C17"/>
    <mergeCell ref="D17:F17"/>
    <mergeCell ref="G17:I17"/>
    <mergeCell ref="J17:L17"/>
    <mergeCell ref="M17:O17"/>
    <mergeCell ref="P17:R17"/>
    <mergeCell ref="S17:U17"/>
    <mergeCell ref="B16:C16"/>
    <mergeCell ref="D16:F16"/>
    <mergeCell ref="G16:I16"/>
    <mergeCell ref="J16:L16"/>
    <mergeCell ref="M16:O16"/>
    <mergeCell ref="P16:R16"/>
    <mergeCell ref="P14:R14"/>
    <mergeCell ref="S14:U14"/>
    <mergeCell ref="D15:F15"/>
    <mergeCell ref="G15:I15"/>
    <mergeCell ref="J15:L15"/>
    <mergeCell ref="M15:O15"/>
    <mergeCell ref="P15:R15"/>
    <mergeCell ref="S15:U15"/>
    <mergeCell ref="S12:U12"/>
    <mergeCell ref="D13:F13"/>
    <mergeCell ref="G13:I13"/>
    <mergeCell ref="J13:L13"/>
    <mergeCell ref="M13:O13"/>
    <mergeCell ref="P13:R13"/>
    <mergeCell ref="S13:U13"/>
    <mergeCell ref="B12:B15"/>
    <mergeCell ref="D12:F12"/>
    <mergeCell ref="G12:I12"/>
    <mergeCell ref="J12:L12"/>
    <mergeCell ref="M12:O12"/>
    <mergeCell ref="P12:R12"/>
    <mergeCell ref="D14:F14"/>
    <mergeCell ref="G14:I14"/>
    <mergeCell ref="J14:L14"/>
    <mergeCell ref="M14:O14"/>
    <mergeCell ref="S10:U10"/>
    <mergeCell ref="D11:F11"/>
    <mergeCell ref="G11:I11"/>
    <mergeCell ref="J11:L11"/>
    <mergeCell ref="M11:O11"/>
    <mergeCell ref="P11:R11"/>
    <mergeCell ref="S11:U11"/>
    <mergeCell ref="G9:I9"/>
    <mergeCell ref="J9:L9"/>
    <mergeCell ref="M9:O9"/>
    <mergeCell ref="P9:R9"/>
    <mergeCell ref="S9:U9"/>
    <mergeCell ref="D10:F10"/>
    <mergeCell ref="G10:I10"/>
    <mergeCell ref="J10:L10"/>
    <mergeCell ref="M10:O10"/>
    <mergeCell ref="P10:R10"/>
    <mergeCell ref="S7:U7"/>
    <mergeCell ref="B8:B11"/>
    <mergeCell ref="D8:F8"/>
    <mergeCell ref="G8:I8"/>
    <mergeCell ref="J8:L8"/>
    <mergeCell ref="M8:O8"/>
    <mergeCell ref="P8:R8"/>
    <mergeCell ref="S8:U8"/>
    <mergeCell ref="D9:F9"/>
    <mergeCell ref="B7:C7"/>
    <mergeCell ref="D7:F7"/>
    <mergeCell ref="G7:I7"/>
    <mergeCell ref="J7:L7"/>
    <mergeCell ref="M7:O7"/>
    <mergeCell ref="P7:R7"/>
    <mergeCell ref="S5:U5"/>
    <mergeCell ref="B6:C6"/>
    <mergeCell ref="D6:F6"/>
    <mergeCell ref="G6:I6"/>
    <mergeCell ref="J6:L6"/>
    <mergeCell ref="M6:O6"/>
    <mergeCell ref="P6:R6"/>
    <mergeCell ref="S6:U6"/>
    <mergeCell ref="B5:C5"/>
    <mergeCell ref="D5:F5"/>
    <mergeCell ref="G5:I5"/>
    <mergeCell ref="J5:L5"/>
    <mergeCell ref="M5:O5"/>
    <mergeCell ref="P5:R5"/>
    <mergeCell ref="S3:U3"/>
    <mergeCell ref="B4:C4"/>
    <mergeCell ref="D4:F4"/>
    <mergeCell ref="G4:I4"/>
    <mergeCell ref="J4:L4"/>
    <mergeCell ref="M4:O4"/>
    <mergeCell ref="P4:R4"/>
    <mergeCell ref="S4:U4"/>
    <mergeCell ref="B3:C3"/>
    <mergeCell ref="D3:F3"/>
    <mergeCell ref="G3:I3"/>
    <mergeCell ref="J3:L3"/>
    <mergeCell ref="M3:O3"/>
    <mergeCell ref="P3:R3"/>
    <mergeCell ref="B1:U1"/>
    <mergeCell ref="B2:C2"/>
    <mergeCell ref="D2:F2"/>
    <mergeCell ref="G2:I2"/>
    <mergeCell ref="J2:L2"/>
    <mergeCell ref="M2:O2"/>
    <mergeCell ref="P2:R2"/>
    <mergeCell ref="S2:U2"/>
  </mergeCells>
  <phoneticPr fontId="1" type="noConversion"/>
  <hyperlinks>
    <hyperlink ref="A2" location="目錄!A1" display="回目錄頁 ↩" xr:uid="{1D22616C-AFBC-4103-892D-366611A7B607}"/>
    <hyperlink ref="A3" location="預設選單欄位設定!A1" display="預設選單欄位設定 ➠" xr:uid="{53448E3D-DDE3-475B-99AF-0F42466B273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C630-9818-4AAC-AF99-B8849D1D9B46}">
  <sheetPr>
    <tabColor theme="9" tint="0.79998168889431442"/>
  </sheetPr>
  <dimension ref="A1:L17"/>
  <sheetViews>
    <sheetView zoomScale="85" zoomScaleNormal="85" workbookViewId="0">
      <selection activeCell="M9" sqref="M9"/>
    </sheetView>
  </sheetViews>
  <sheetFormatPr defaultRowHeight="17"/>
  <cols>
    <col min="1" max="1" width="20.6328125" customWidth="1"/>
    <col min="2" max="2" width="16.6328125" customWidth="1"/>
    <col min="3" max="3" width="15.6328125" customWidth="1"/>
  </cols>
  <sheetData>
    <row r="1" spans="1:12" ht="40" customHeight="1" thickBot="1">
      <c r="A1" s="17"/>
      <c r="B1" s="180" t="s">
        <v>128</v>
      </c>
      <c r="C1" s="181"/>
      <c r="D1" s="181"/>
      <c r="E1" s="181"/>
      <c r="F1" s="181"/>
      <c r="G1" s="181"/>
      <c r="H1" s="181"/>
      <c r="I1" s="181"/>
      <c r="J1" s="181"/>
      <c r="K1" s="181"/>
      <c r="L1" s="182"/>
    </row>
    <row r="2" spans="1:12" ht="25" customHeight="1">
      <c r="A2" s="50" t="s">
        <v>151</v>
      </c>
      <c r="B2" s="246" t="s">
        <v>212</v>
      </c>
      <c r="C2" s="247"/>
      <c r="D2" s="252"/>
      <c r="E2" s="252"/>
      <c r="F2" s="252"/>
      <c r="G2" s="252"/>
      <c r="H2" s="252"/>
      <c r="I2" s="252"/>
      <c r="J2" s="252"/>
      <c r="K2" s="252"/>
      <c r="L2" s="253"/>
    </row>
    <row r="3" spans="1:12" ht="25" customHeight="1">
      <c r="A3" s="50" t="s">
        <v>152</v>
      </c>
      <c r="B3" s="156" t="s">
        <v>251</v>
      </c>
      <c r="C3" s="177"/>
      <c r="D3" s="254"/>
      <c r="E3" s="254"/>
      <c r="F3" s="254"/>
      <c r="G3" s="254"/>
      <c r="H3" s="254"/>
      <c r="I3" s="254"/>
      <c r="J3" s="254"/>
      <c r="K3" s="254"/>
      <c r="L3" s="255"/>
    </row>
    <row r="4" spans="1:12" ht="25" customHeight="1">
      <c r="A4" s="46" t="s">
        <v>154</v>
      </c>
      <c r="B4" s="156" t="s">
        <v>217</v>
      </c>
      <c r="C4" s="177"/>
      <c r="D4" s="256"/>
      <c r="E4" s="256"/>
      <c r="F4" s="256"/>
      <c r="G4" s="256"/>
      <c r="H4" s="256"/>
      <c r="I4" s="256"/>
      <c r="J4" s="256"/>
      <c r="K4" s="256"/>
      <c r="L4" s="257"/>
    </row>
    <row r="5" spans="1:12" ht="25" customHeight="1">
      <c r="B5" s="197" t="s">
        <v>130</v>
      </c>
      <c r="C5" s="36" t="s">
        <v>257</v>
      </c>
      <c r="D5" s="235"/>
      <c r="E5" s="235"/>
      <c r="F5" s="235"/>
      <c r="G5" s="235"/>
      <c r="H5" s="235"/>
      <c r="I5" s="235"/>
      <c r="J5" s="235"/>
      <c r="K5" s="235"/>
      <c r="L5" s="239"/>
    </row>
    <row r="6" spans="1:12" ht="25" customHeight="1">
      <c r="B6" s="197"/>
      <c r="C6" s="36" t="s">
        <v>256</v>
      </c>
      <c r="D6" s="235"/>
      <c r="E6" s="235"/>
      <c r="F6" s="235"/>
      <c r="G6" s="235"/>
      <c r="H6" s="235"/>
      <c r="I6" s="235"/>
      <c r="J6" s="235"/>
      <c r="K6" s="235"/>
      <c r="L6" s="239"/>
    </row>
    <row r="7" spans="1:12" ht="25" customHeight="1">
      <c r="B7" s="197"/>
      <c r="C7" s="36" t="s">
        <v>255</v>
      </c>
      <c r="D7" s="235"/>
      <c r="E7" s="235"/>
      <c r="F7" s="235"/>
      <c r="G7" s="235"/>
      <c r="H7" s="235"/>
      <c r="I7" s="235"/>
      <c r="J7" s="235"/>
      <c r="K7" s="235"/>
      <c r="L7" s="239"/>
    </row>
    <row r="8" spans="1:12" ht="25" customHeight="1">
      <c r="B8" s="197" t="s">
        <v>129</v>
      </c>
      <c r="C8" s="36" t="s">
        <v>254</v>
      </c>
      <c r="D8" s="235"/>
      <c r="E8" s="235"/>
      <c r="F8" s="235"/>
      <c r="G8" s="235"/>
      <c r="H8" s="235"/>
      <c r="I8" s="235"/>
      <c r="J8" s="235"/>
      <c r="K8" s="235"/>
      <c r="L8" s="239"/>
    </row>
    <row r="9" spans="1:12" ht="25" customHeight="1">
      <c r="B9" s="197"/>
      <c r="C9" s="36" t="s">
        <v>252</v>
      </c>
      <c r="D9" s="235"/>
      <c r="E9" s="235"/>
      <c r="F9" s="235"/>
      <c r="G9" s="235"/>
      <c r="H9" s="235"/>
      <c r="I9" s="235"/>
      <c r="J9" s="235"/>
      <c r="K9" s="235"/>
      <c r="L9" s="239"/>
    </row>
    <row r="10" spans="1:12" ht="25" customHeight="1" thickBot="1">
      <c r="B10" s="231"/>
      <c r="C10" s="37" t="s">
        <v>253</v>
      </c>
      <c r="D10" s="250"/>
      <c r="E10" s="250"/>
      <c r="F10" s="250"/>
      <c r="G10" s="250"/>
      <c r="H10" s="250"/>
      <c r="I10" s="250"/>
      <c r="J10" s="250"/>
      <c r="K10" s="250"/>
      <c r="L10" s="251"/>
    </row>
    <row r="11" spans="1:12" s="31" customFormat="1" ht="64" customHeight="1">
      <c r="B11" s="151" t="s">
        <v>164</v>
      </c>
      <c r="C11" s="151"/>
      <c r="D11" s="151"/>
      <c r="E11" s="151"/>
      <c r="F11" s="151"/>
      <c r="G11" s="151"/>
      <c r="H11" s="151"/>
      <c r="I11" s="151"/>
      <c r="J11" s="151"/>
      <c r="K11" s="151"/>
      <c r="L11" s="151"/>
    </row>
    <row r="12" spans="1:12" s="31" customFormat="1" ht="64" customHeight="1">
      <c r="B12" s="151" t="s">
        <v>165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</row>
    <row r="13" spans="1:12" s="31" customFormat="1" ht="48" customHeight="1">
      <c r="B13" s="151" t="s">
        <v>166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</row>
    <row r="14" spans="1:12" s="31" customFormat="1" ht="64" customHeight="1">
      <c r="B14" s="151" t="s">
        <v>167</v>
      </c>
      <c r="C14" s="151"/>
      <c r="D14" s="151"/>
      <c r="E14" s="151"/>
      <c r="F14" s="151"/>
      <c r="G14" s="151"/>
      <c r="H14" s="151"/>
      <c r="I14" s="151"/>
      <c r="J14" s="151"/>
      <c r="K14" s="151"/>
      <c r="L14" s="151"/>
    </row>
    <row r="15" spans="1:12" s="31" customFormat="1" ht="48" customHeight="1">
      <c r="B15" s="151" t="s">
        <v>168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</row>
    <row r="16" spans="1:12" s="31" customFormat="1" ht="64" customHeight="1">
      <c r="B16" s="151" t="s">
        <v>169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/>
    </row>
    <row r="17" spans="2:12">
      <c r="B17" s="234" t="s">
        <v>41</v>
      </c>
      <c r="C17" s="234"/>
      <c r="D17" s="234"/>
      <c r="E17" s="234"/>
      <c r="F17" s="234"/>
      <c r="G17" s="234"/>
      <c r="H17" s="234"/>
      <c r="I17" s="234"/>
      <c r="J17" s="234"/>
      <c r="K17" s="234"/>
      <c r="L17" s="234"/>
    </row>
  </sheetData>
  <mergeCells count="40">
    <mergeCell ref="B1:L1"/>
    <mergeCell ref="B2:C2"/>
    <mergeCell ref="B3:C3"/>
    <mergeCell ref="B4:C4"/>
    <mergeCell ref="D2:F2"/>
    <mergeCell ref="D3:F3"/>
    <mergeCell ref="D4:F4"/>
    <mergeCell ref="G2:I2"/>
    <mergeCell ref="G3:I3"/>
    <mergeCell ref="G4:I4"/>
    <mergeCell ref="B5:B7"/>
    <mergeCell ref="B8:B10"/>
    <mergeCell ref="D5:F5"/>
    <mergeCell ref="D6:F6"/>
    <mergeCell ref="D7:F7"/>
    <mergeCell ref="D8:F8"/>
    <mergeCell ref="D9:F9"/>
    <mergeCell ref="D10:F10"/>
    <mergeCell ref="G5:I5"/>
    <mergeCell ref="G6:I6"/>
    <mergeCell ref="J2:L2"/>
    <mergeCell ref="J3:L3"/>
    <mergeCell ref="J4:L4"/>
    <mergeCell ref="J5:L5"/>
    <mergeCell ref="J6:L6"/>
    <mergeCell ref="J8:L8"/>
    <mergeCell ref="J9:L9"/>
    <mergeCell ref="J10:L10"/>
    <mergeCell ref="G7:I7"/>
    <mergeCell ref="G8:I8"/>
    <mergeCell ref="G9:I9"/>
    <mergeCell ref="G10:I10"/>
    <mergeCell ref="J7:L7"/>
    <mergeCell ref="B16:L16"/>
    <mergeCell ref="B17:L17"/>
    <mergeCell ref="B11:L11"/>
    <mergeCell ref="B12:L12"/>
    <mergeCell ref="B13:L13"/>
    <mergeCell ref="B14:L14"/>
    <mergeCell ref="B15:L15"/>
  </mergeCells>
  <phoneticPr fontId="1" type="noConversion"/>
  <dataValidations count="2">
    <dataValidation type="list" allowBlank="1" showInputMessage="1" showErrorMessage="1" sqref="D5:L5" xr:uid="{750D9BA7-9C91-4111-9D66-7E8127761721}">
      <formula1>#REF!</formula1>
    </dataValidation>
    <dataValidation type="list" allowBlank="1" showInputMessage="1" showErrorMessage="1" sqref="D6:L10" xr:uid="{AD83169A-FA5B-4ECE-A685-C201DE169354}">
      <formula1>#REF!</formula1>
    </dataValidation>
  </dataValidations>
  <hyperlinks>
    <hyperlink ref="A2" location="目錄!A1" display="回目錄頁 ↩" xr:uid="{C39F5938-08E3-4A7B-A412-6746F8EF1916}"/>
    <hyperlink ref="A3" location="預設選單欄位設定!A1" display="預設選單欄位設定 ➠" xr:uid="{7CB31D76-253A-4A52-B996-A31746E24B8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4B3F-0F85-484E-9C9C-EF18E3FA80B8}">
  <sheetPr>
    <tabColor theme="9" tint="0.79998168889431442"/>
  </sheetPr>
  <dimension ref="A1:L15"/>
  <sheetViews>
    <sheetView workbookViewId="0">
      <selection activeCell="B11" sqref="B11:L11"/>
    </sheetView>
  </sheetViews>
  <sheetFormatPr defaultRowHeight="17"/>
  <cols>
    <col min="1" max="1" width="20.6328125" customWidth="1"/>
    <col min="2" max="2" width="16.6328125" customWidth="1"/>
    <col min="3" max="3" width="14.6328125" customWidth="1"/>
  </cols>
  <sheetData>
    <row r="1" spans="1:12" ht="40" customHeight="1" thickBot="1">
      <c r="A1" s="17"/>
      <c r="B1" s="180" t="s">
        <v>131</v>
      </c>
      <c r="C1" s="181"/>
      <c r="D1" s="181"/>
      <c r="E1" s="181"/>
      <c r="F1" s="181"/>
      <c r="G1" s="181"/>
      <c r="H1" s="181"/>
      <c r="I1" s="181"/>
      <c r="J1" s="181"/>
      <c r="K1" s="181"/>
      <c r="L1" s="182"/>
    </row>
    <row r="2" spans="1:12" ht="25" customHeight="1">
      <c r="A2" s="50" t="s">
        <v>151</v>
      </c>
      <c r="B2" s="246" t="s">
        <v>212</v>
      </c>
      <c r="C2" s="247"/>
      <c r="D2" s="266"/>
      <c r="E2" s="266"/>
      <c r="F2" s="266"/>
      <c r="G2" s="266"/>
      <c r="H2" s="266"/>
      <c r="I2" s="266"/>
      <c r="J2" s="266"/>
      <c r="K2" s="266"/>
      <c r="L2" s="267"/>
    </row>
    <row r="3" spans="1:12" ht="25" customHeight="1">
      <c r="A3" s="50" t="s">
        <v>152</v>
      </c>
      <c r="B3" s="156" t="s">
        <v>251</v>
      </c>
      <c r="C3" s="177"/>
      <c r="D3" s="264"/>
      <c r="E3" s="264"/>
      <c r="F3" s="264"/>
      <c r="G3" s="264"/>
      <c r="H3" s="264"/>
      <c r="I3" s="264"/>
      <c r="J3" s="264"/>
      <c r="K3" s="264"/>
      <c r="L3" s="265"/>
    </row>
    <row r="4" spans="1:12" ht="25" customHeight="1">
      <c r="A4" s="46" t="s">
        <v>154</v>
      </c>
      <c r="B4" s="156" t="s">
        <v>217</v>
      </c>
      <c r="C4" s="177"/>
      <c r="D4" s="262"/>
      <c r="E4" s="262"/>
      <c r="F4" s="262"/>
      <c r="G4" s="262"/>
      <c r="H4" s="262"/>
      <c r="I4" s="262"/>
      <c r="J4" s="262"/>
      <c r="K4" s="262"/>
      <c r="L4" s="263"/>
    </row>
    <row r="5" spans="1:12" ht="25" customHeight="1">
      <c r="B5" s="197" t="s">
        <v>132</v>
      </c>
      <c r="C5" s="36" t="s">
        <v>258</v>
      </c>
      <c r="D5" s="260"/>
      <c r="E5" s="260"/>
      <c r="F5" s="260"/>
      <c r="G5" s="260"/>
      <c r="H5" s="260"/>
      <c r="I5" s="260"/>
      <c r="J5" s="260"/>
      <c r="K5" s="260"/>
      <c r="L5" s="261"/>
    </row>
    <row r="6" spans="1:12" ht="25" customHeight="1">
      <c r="B6" s="197"/>
      <c r="C6" s="36" t="s">
        <v>259</v>
      </c>
      <c r="D6" s="260"/>
      <c r="E6" s="260"/>
      <c r="F6" s="260"/>
      <c r="G6" s="260"/>
      <c r="H6" s="260"/>
      <c r="I6" s="260"/>
      <c r="J6" s="260"/>
      <c r="K6" s="260"/>
      <c r="L6" s="261"/>
    </row>
    <row r="7" spans="1:12" ht="25" customHeight="1">
      <c r="B7" s="197"/>
      <c r="C7" s="36" t="s">
        <v>260</v>
      </c>
      <c r="D7" s="260"/>
      <c r="E7" s="260"/>
      <c r="F7" s="260"/>
      <c r="G7" s="260"/>
      <c r="H7" s="260"/>
      <c r="I7" s="260"/>
      <c r="J7" s="260"/>
      <c r="K7" s="260"/>
      <c r="L7" s="261"/>
    </row>
    <row r="8" spans="1:12" ht="25" customHeight="1">
      <c r="B8" s="197" t="s">
        <v>133</v>
      </c>
      <c r="C8" s="36" t="s">
        <v>261</v>
      </c>
      <c r="D8" s="260"/>
      <c r="E8" s="260"/>
      <c r="F8" s="260"/>
      <c r="G8" s="260"/>
      <c r="H8" s="260"/>
      <c r="I8" s="260"/>
      <c r="J8" s="260"/>
      <c r="K8" s="260"/>
      <c r="L8" s="261"/>
    </row>
    <row r="9" spans="1:12" ht="25" customHeight="1" thickBot="1">
      <c r="B9" s="231"/>
      <c r="C9" s="37" t="s">
        <v>262</v>
      </c>
      <c r="D9" s="258"/>
      <c r="E9" s="258"/>
      <c r="F9" s="258"/>
      <c r="G9" s="258"/>
      <c r="H9" s="258"/>
      <c r="I9" s="258"/>
      <c r="J9" s="258"/>
      <c r="K9" s="258"/>
      <c r="L9" s="259"/>
    </row>
    <row r="10" spans="1:12" s="31" customFormat="1" ht="64" customHeight="1">
      <c r="B10" s="151" t="s">
        <v>263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</row>
    <row r="11" spans="1:12" s="31" customFormat="1" ht="48" customHeight="1">
      <c r="B11" s="151" t="s">
        <v>264</v>
      </c>
      <c r="C11" s="151"/>
      <c r="D11" s="151"/>
      <c r="E11" s="151"/>
      <c r="F11" s="151"/>
      <c r="G11" s="151"/>
      <c r="H11" s="151"/>
      <c r="I11" s="151"/>
      <c r="J11" s="151"/>
      <c r="K11" s="151"/>
      <c r="L11" s="151"/>
    </row>
    <row r="12" spans="1:12" ht="48" customHeight="1">
      <c r="B12" s="151" t="s">
        <v>265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</row>
    <row r="13" spans="1:12" s="31" customFormat="1" ht="48" customHeight="1">
      <c r="B13" s="151" t="s">
        <v>266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</row>
    <row r="14" spans="1:12" ht="48" customHeight="1">
      <c r="B14" s="151" t="s">
        <v>267</v>
      </c>
      <c r="C14" s="151"/>
      <c r="D14" s="151"/>
      <c r="E14" s="151"/>
      <c r="F14" s="151"/>
      <c r="G14" s="151"/>
      <c r="H14" s="151"/>
      <c r="I14" s="151"/>
      <c r="J14" s="151"/>
      <c r="K14" s="151"/>
      <c r="L14" s="151"/>
    </row>
    <row r="15" spans="1:12">
      <c r="B15" s="234" t="s">
        <v>41</v>
      </c>
      <c r="C15" s="234"/>
      <c r="D15" s="234"/>
      <c r="E15" s="234"/>
      <c r="F15" s="234"/>
      <c r="G15" s="234"/>
      <c r="H15" s="234"/>
      <c r="I15" s="234"/>
      <c r="J15" s="234"/>
      <c r="K15" s="234"/>
      <c r="L15" s="234"/>
    </row>
  </sheetData>
  <mergeCells count="36">
    <mergeCell ref="B3:C3"/>
    <mergeCell ref="D3:F3"/>
    <mergeCell ref="G3:I3"/>
    <mergeCell ref="J3:L3"/>
    <mergeCell ref="B1:L1"/>
    <mergeCell ref="B2:C2"/>
    <mergeCell ref="D2:F2"/>
    <mergeCell ref="G2:I2"/>
    <mergeCell ref="J2:L2"/>
    <mergeCell ref="B8:B9"/>
    <mergeCell ref="D8:F8"/>
    <mergeCell ref="G8:I8"/>
    <mergeCell ref="J8:L8"/>
    <mergeCell ref="B4:C4"/>
    <mergeCell ref="D4:F4"/>
    <mergeCell ref="G4:I4"/>
    <mergeCell ref="J4:L4"/>
    <mergeCell ref="B5:B7"/>
    <mergeCell ref="D5:F5"/>
    <mergeCell ref="G5:I5"/>
    <mergeCell ref="J5:L5"/>
    <mergeCell ref="D6:F6"/>
    <mergeCell ref="D9:F9"/>
    <mergeCell ref="G9:I9"/>
    <mergeCell ref="J9:L9"/>
    <mergeCell ref="G6:I6"/>
    <mergeCell ref="J6:L6"/>
    <mergeCell ref="D7:F7"/>
    <mergeCell ref="G7:I7"/>
    <mergeCell ref="J7:L7"/>
    <mergeCell ref="B14:L14"/>
    <mergeCell ref="B15:L15"/>
    <mergeCell ref="B10:L10"/>
    <mergeCell ref="B11:L11"/>
    <mergeCell ref="B12:L12"/>
    <mergeCell ref="B13:L13"/>
  </mergeCells>
  <phoneticPr fontId="1" type="noConversion"/>
  <dataValidations count="2">
    <dataValidation type="list" allowBlank="1" showInputMessage="1" showErrorMessage="1" sqref="D5:L5" xr:uid="{A4947248-8C40-4317-92CC-E00A3EBF9114}">
      <formula1>#REF!</formula1>
    </dataValidation>
    <dataValidation type="list" allowBlank="1" showInputMessage="1" showErrorMessage="1" sqref="D6:L9" xr:uid="{8D48D372-1C23-4825-BE15-570509C2F412}">
      <formula1>#REF!</formula1>
    </dataValidation>
  </dataValidations>
  <hyperlinks>
    <hyperlink ref="A2" location="目錄!A1" display="回目錄頁 ↩" xr:uid="{E03C52C6-19FA-47FD-9331-310C13EA4EAF}"/>
    <hyperlink ref="A3" location="預設選單欄位設定!A1" display="預設選單欄位設定 ➠" xr:uid="{38437EB6-486D-4D63-9BCF-156E8730970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3CCF-74BD-9B4C-880D-1CD03DACB0B9}">
  <sheetPr>
    <tabColor theme="9" tint="0.79998168889431442"/>
  </sheetPr>
  <dimension ref="A1:O18"/>
  <sheetViews>
    <sheetView zoomScale="55" zoomScaleNormal="55" workbookViewId="0">
      <selection activeCell="U1" sqref="U1"/>
    </sheetView>
  </sheetViews>
  <sheetFormatPr defaultColWidth="10.81640625" defaultRowHeight="15.5"/>
  <cols>
    <col min="1" max="1" width="20.6328125" style="17" customWidth="1"/>
    <col min="2" max="2" width="16.6328125" style="17" customWidth="1"/>
    <col min="3" max="7" width="10.6328125" style="17" customWidth="1"/>
    <col min="8" max="16384" width="10.81640625" style="17"/>
  </cols>
  <sheetData>
    <row r="1" spans="1:15" ht="40" customHeight="1" thickBot="1">
      <c r="B1" s="180" t="s">
        <v>161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</row>
    <row r="2" spans="1:15" ht="25" customHeight="1">
      <c r="A2" s="50" t="s">
        <v>151</v>
      </c>
      <c r="B2" s="233" t="s">
        <v>223</v>
      </c>
      <c r="C2" s="204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</row>
    <row r="3" spans="1:15" ht="25" customHeight="1">
      <c r="A3" s="50" t="s">
        <v>152</v>
      </c>
      <c r="B3" s="156" t="s">
        <v>224</v>
      </c>
      <c r="C3" s="177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</row>
    <row r="4" spans="1:15" ht="25" customHeight="1">
      <c r="A4" s="46" t="s">
        <v>154</v>
      </c>
      <c r="B4" s="156" t="s">
        <v>225</v>
      </c>
      <c r="C4" s="177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</row>
    <row r="5" spans="1:15" ht="25" customHeight="1">
      <c r="A5" s="47" t="s">
        <v>160</v>
      </c>
      <c r="B5" s="156" t="s">
        <v>226</v>
      </c>
      <c r="C5" s="177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</row>
    <row r="6" spans="1:15" ht="25" customHeight="1">
      <c r="A6" s="48" t="s">
        <v>149</v>
      </c>
      <c r="B6" s="156" t="s">
        <v>227</v>
      </c>
      <c r="C6" s="177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</row>
    <row r="7" spans="1:15" ht="25" customHeight="1">
      <c r="B7" s="197" t="s">
        <v>228</v>
      </c>
      <c r="C7" s="195"/>
      <c r="D7" s="61" t="s">
        <v>124</v>
      </c>
      <c r="E7" s="61" t="s">
        <v>162</v>
      </c>
      <c r="F7" s="61" t="s">
        <v>125</v>
      </c>
      <c r="G7" s="61" t="s">
        <v>163</v>
      </c>
      <c r="H7" s="61" t="s">
        <v>124</v>
      </c>
      <c r="I7" s="61" t="s">
        <v>162</v>
      </c>
      <c r="J7" s="61" t="s">
        <v>125</v>
      </c>
      <c r="K7" s="61" t="s">
        <v>163</v>
      </c>
      <c r="L7" s="61" t="s">
        <v>124</v>
      </c>
      <c r="M7" s="61" t="s">
        <v>162</v>
      </c>
      <c r="N7" s="61" t="s">
        <v>125</v>
      </c>
      <c r="O7" s="61" t="s">
        <v>163</v>
      </c>
    </row>
    <row r="8" spans="1:15" ht="25" customHeight="1">
      <c r="B8" s="197"/>
      <c r="C8" s="195"/>
      <c r="D8" s="67"/>
      <c r="E8" s="60"/>
      <c r="F8" s="113"/>
      <c r="G8" s="38"/>
      <c r="H8" s="67"/>
      <c r="I8" s="60"/>
      <c r="J8" s="113"/>
      <c r="K8" s="38"/>
      <c r="L8" s="67"/>
      <c r="M8" s="60"/>
      <c r="N8" s="113"/>
      <c r="O8" s="38"/>
    </row>
    <row r="9" spans="1:15" ht="25" customHeight="1">
      <c r="B9" s="197"/>
      <c r="C9" s="195"/>
      <c r="D9" s="67"/>
      <c r="E9" s="60"/>
      <c r="F9" s="113"/>
      <c r="G9" s="38"/>
      <c r="H9" s="67"/>
      <c r="I9" s="60"/>
      <c r="J9" s="113"/>
      <c r="K9" s="38"/>
      <c r="L9" s="67"/>
      <c r="M9" s="60"/>
      <c r="N9" s="113"/>
      <c r="O9" s="38"/>
    </row>
    <row r="10" spans="1:15" ht="25" customHeight="1">
      <c r="B10" s="197"/>
      <c r="C10" s="195"/>
      <c r="D10" s="67"/>
      <c r="E10" s="60"/>
      <c r="F10" s="113"/>
      <c r="G10" s="38"/>
      <c r="H10" s="67"/>
      <c r="I10" s="60"/>
      <c r="J10" s="113"/>
      <c r="K10" s="38"/>
      <c r="L10" s="67"/>
      <c r="M10" s="60"/>
      <c r="N10" s="113"/>
      <c r="O10" s="38"/>
    </row>
    <row r="11" spans="1:15" ht="25" customHeight="1">
      <c r="B11" s="197"/>
      <c r="C11" s="195"/>
      <c r="D11" s="67"/>
      <c r="E11" s="60"/>
      <c r="F11" s="113"/>
      <c r="G11" s="38"/>
      <c r="H11" s="67"/>
      <c r="I11" s="60"/>
      <c r="J11" s="113"/>
      <c r="K11" s="38"/>
      <c r="L11" s="67"/>
      <c r="M11" s="60"/>
      <c r="N11" s="113"/>
      <c r="O11" s="38"/>
    </row>
    <row r="12" spans="1:15" ht="25" customHeight="1">
      <c r="B12" s="197"/>
      <c r="C12" s="195"/>
      <c r="D12" s="67"/>
      <c r="E12" s="60"/>
      <c r="F12" s="113"/>
      <c r="G12" s="38"/>
      <c r="H12" s="67"/>
      <c r="I12" s="60"/>
      <c r="J12" s="113"/>
      <c r="K12" s="38"/>
      <c r="L12" s="67"/>
      <c r="M12" s="60"/>
      <c r="N12" s="113"/>
      <c r="O12" s="38"/>
    </row>
    <row r="13" spans="1:15" ht="25" customHeight="1">
      <c r="B13" s="197"/>
      <c r="C13" s="195"/>
      <c r="D13" s="67"/>
      <c r="E13" s="60"/>
      <c r="F13" s="113"/>
      <c r="G13" s="38"/>
      <c r="H13" s="67"/>
      <c r="I13" s="60"/>
      <c r="J13" s="113"/>
      <c r="K13" s="38"/>
      <c r="L13" s="67"/>
      <c r="M13" s="60"/>
      <c r="N13" s="113"/>
      <c r="O13" s="38"/>
    </row>
    <row r="14" spans="1:15" ht="25" customHeight="1">
      <c r="B14" s="197"/>
      <c r="C14" s="195"/>
      <c r="D14" s="67"/>
      <c r="E14" s="60"/>
      <c r="F14" s="113"/>
      <c r="G14" s="38"/>
      <c r="H14" s="67"/>
      <c r="I14" s="60"/>
      <c r="J14" s="113"/>
      <c r="K14" s="38"/>
      <c r="L14" s="67"/>
      <c r="M14" s="60"/>
      <c r="N14" s="113"/>
      <c r="O14" s="38"/>
    </row>
    <row r="15" spans="1:15" ht="25" customHeight="1">
      <c r="B15" s="197"/>
      <c r="C15" s="195"/>
      <c r="D15" s="67"/>
      <c r="E15" s="60"/>
      <c r="F15" s="113"/>
      <c r="G15" s="38"/>
      <c r="H15" s="67"/>
      <c r="I15" s="60"/>
      <c r="J15" s="113"/>
      <c r="K15" s="38"/>
      <c r="L15" s="67"/>
      <c r="M15" s="60"/>
      <c r="N15" s="113"/>
      <c r="O15" s="38"/>
    </row>
    <row r="16" spans="1:15" ht="25" customHeight="1">
      <c r="B16" s="197"/>
      <c r="C16" s="195"/>
      <c r="D16" s="67"/>
      <c r="E16" s="60"/>
      <c r="F16" s="113"/>
      <c r="G16" s="38"/>
      <c r="H16" s="67"/>
      <c r="I16" s="60"/>
      <c r="J16" s="113"/>
      <c r="K16" s="38"/>
      <c r="L16" s="67"/>
      <c r="M16" s="60"/>
      <c r="N16" s="113"/>
      <c r="O16" s="38"/>
    </row>
    <row r="17" spans="2:15" ht="25" customHeight="1" thickBot="1">
      <c r="B17" s="231"/>
      <c r="C17" s="232"/>
      <c r="D17" s="69"/>
      <c r="E17" s="62"/>
      <c r="F17" s="127"/>
      <c r="G17" s="68"/>
      <c r="H17" s="69"/>
      <c r="I17" s="62"/>
      <c r="J17" s="127"/>
      <c r="K17" s="68"/>
      <c r="L17" s="69"/>
      <c r="M17" s="62"/>
      <c r="N17" s="127"/>
      <c r="O17" s="68"/>
    </row>
    <row r="18" spans="2:15" ht="16">
      <c r="B18" s="229" t="s">
        <v>41</v>
      </c>
      <c r="C18" s="216"/>
      <c r="D18" s="216"/>
      <c r="E18" s="216"/>
      <c r="F18" s="216"/>
      <c r="G18" s="216"/>
    </row>
  </sheetData>
  <mergeCells count="23">
    <mergeCell ref="B5:C5"/>
    <mergeCell ref="B6:C6"/>
    <mergeCell ref="D2:G2"/>
    <mergeCell ref="D3:G3"/>
    <mergeCell ref="D4:G4"/>
    <mergeCell ref="D5:G5"/>
    <mergeCell ref="D6:G6"/>
    <mergeCell ref="B18:G18"/>
    <mergeCell ref="B1:O1"/>
    <mergeCell ref="L2:O2"/>
    <mergeCell ref="L3:O3"/>
    <mergeCell ref="L4:O4"/>
    <mergeCell ref="L5:O5"/>
    <mergeCell ref="L6:O6"/>
    <mergeCell ref="H2:K2"/>
    <mergeCell ref="H3:K3"/>
    <mergeCell ref="H4:K4"/>
    <mergeCell ref="H5:K5"/>
    <mergeCell ref="H6:K6"/>
    <mergeCell ref="B7:C17"/>
    <mergeCell ref="B2:C2"/>
    <mergeCell ref="B3:C3"/>
    <mergeCell ref="B4:C4"/>
  </mergeCells>
  <phoneticPr fontId="1" type="noConversion"/>
  <dataValidations count="2">
    <dataValidation type="list" allowBlank="1" showInputMessage="1" showErrorMessage="1" sqref="D3:O3" xr:uid="{CBB27AE6-651B-4376-AFA7-9C450DACA948}">
      <formula1>#REF!</formula1>
    </dataValidation>
    <dataValidation type="list" allowBlank="1" showInputMessage="1" showErrorMessage="1" sqref="O8:O17 D8:D17 G8:H17 K8:L17 D4:O6" xr:uid="{C78394BF-1BB5-4FD6-B659-0A6E6A64C73C}">
      <formula1>#REF!</formula1>
    </dataValidation>
  </dataValidations>
  <hyperlinks>
    <hyperlink ref="A2" location="目錄!A1" display="回目錄頁 ↩" xr:uid="{74D035D8-FCFB-477B-AD6A-E2F68884DEEB}"/>
    <hyperlink ref="A3" location="預設選單欄位設定!A1" display="預設選單欄位設定 ➠" xr:uid="{61AA1637-3649-44DB-9977-7ABBA4D64446}"/>
  </hyperlinks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12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B2E5-D19B-8347-A545-F288D96C450C}">
  <sheetPr>
    <tabColor theme="9" tint="0.79998168889431442"/>
    <pageSetUpPr fitToPage="1"/>
  </sheetPr>
  <dimension ref="A1:L15"/>
  <sheetViews>
    <sheetView zoomScale="85" zoomScaleNormal="85" workbookViewId="0">
      <selection activeCell="N7" sqref="N7"/>
    </sheetView>
  </sheetViews>
  <sheetFormatPr defaultColWidth="10.81640625" defaultRowHeight="15.5"/>
  <cols>
    <col min="1" max="1" width="20.6328125" style="17" customWidth="1"/>
    <col min="2" max="2" width="16.6328125" style="17" customWidth="1"/>
    <col min="3" max="6" width="10.6328125" style="17" customWidth="1"/>
    <col min="7" max="13" width="10.81640625" style="17" customWidth="1"/>
    <col min="14" max="16384" width="10.81640625" style="17"/>
  </cols>
  <sheetData>
    <row r="1" spans="1:12" ht="40" customHeight="1" thickBot="1">
      <c r="B1" s="240" t="s">
        <v>127</v>
      </c>
      <c r="C1" s="241"/>
      <c r="D1" s="241"/>
      <c r="E1" s="241"/>
      <c r="F1" s="241"/>
      <c r="G1" s="241"/>
      <c r="H1" s="241"/>
      <c r="I1" s="241"/>
      <c r="J1" s="241"/>
      <c r="K1" s="241"/>
      <c r="L1" s="242"/>
    </row>
    <row r="2" spans="1:12" ht="25" customHeight="1">
      <c r="A2" s="50" t="s">
        <v>151</v>
      </c>
      <c r="B2" s="233" t="s">
        <v>212</v>
      </c>
      <c r="C2" s="204"/>
      <c r="D2" s="236"/>
      <c r="E2" s="236"/>
      <c r="F2" s="236"/>
      <c r="G2" s="236"/>
      <c r="H2" s="236"/>
      <c r="I2" s="236"/>
      <c r="J2" s="236"/>
      <c r="K2" s="236"/>
      <c r="L2" s="237"/>
    </row>
    <row r="3" spans="1:12" ht="25" customHeight="1">
      <c r="A3" s="50" t="s">
        <v>152</v>
      </c>
      <c r="B3" s="156" t="s">
        <v>236</v>
      </c>
      <c r="C3" s="177"/>
      <c r="D3" s="168"/>
      <c r="E3" s="168"/>
      <c r="F3" s="168"/>
      <c r="G3" s="168"/>
      <c r="H3" s="168"/>
      <c r="I3" s="168"/>
      <c r="J3" s="168"/>
      <c r="K3" s="168"/>
      <c r="L3" s="169"/>
    </row>
    <row r="4" spans="1:12" ht="25" customHeight="1">
      <c r="A4" s="46" t="s">
        <v>154</v>
      </c>
      <c r="B4" s="156" t="s">
        <v>235</v>
      </c>
      <c r="C4" s="177"/>
      <c r="D4" s="238"/>
      <c r="E4" s="238"/>
      <c r="F4" s="238"/>
      <c r="G4" s="238"/>
      <c r="H4" s="238"/>
      <c r="I4" s="238"/>
      <c r="J4" s="238"/>
      <c r="K4" s="238"/>
      <c r="L4" s="243"/>
    </row>
    <row r="5" spans="1:12" ht="25" customHeight="1">
      <c r="A5" s="47" t="s">
        <v>160</v>
      </c>
      <c r="B5" s="156" t="s">
        <v>217</v>
      </c>
      <c r="C5" s="177"/>
      <c r="D5" s="183"/>
      <c r="E5" s="183"/>
      <c r="F5" s="183"/>
      <c r="G5" s="183"/>
      <c r="H5" s="183"/>
      <c r="I5" s="183"/>
      <c r="J5" s="183"/>
      <c r="K5" s="183"/>
      <c r="L5" s="184"/>
    </row>
    <row r="6" spans="1:12" ht="25" customHeight="1">
      <c r="A6" s="48" t="s">
        <v>149</v>
      </c>
      <c r="B6" s="156" t="s">
        <v>229</v>
      </c>
      <c r="C6" s="177"/>
      <c r="D6" s="168"/>
      <c r="E6" s="168"/>
      <c r="F6" s="168"/>
      <c r="G6" s="168"/>
      <c r="H6" s="168"/>
      <c r="I6" s="168"/>
      <c r="J6" s="168"/>
      <c r="K6" s="168"/>
      <c r="L6" s="169"/>
    </row>
    <row r="7" spans="1:12" ht="25" customHeight="1">
      <c r="B7" s="156" t="s">
        <v>234</v>
      </c>
      <c r="C7" s="177"/>
      <c r="D7" s="168"/>
      <c r="E7" s="168"/>
      <c r="F7" s="168"/>
      <c r="G7" s="168"/>
      <c r="H7" s="168"/>
      <c r="I7" s="168"/>
      <c r="J7" s="168"/>
      <c r="K7" s="168"/>
      <c r="L7" s="169"/>
    </row>
    <row r="8" spans="1:12" ht="25" customHeight="1">
      <c r="B8" s="156" t="s">
        <v>233</v>
      </c>
      <c r="C8" s="177"/>
      <c r="D8" s="168"/>
      <c r="E8" s="168"/>
      <c r="F8" s="168"/>
      <c r="G8" s="168"/>
      <c r="H8" s="168"/>
      <c r="I8" s="168"/>
      <c r="J8" s="168"/>
      <c r="K8" s="168"/>
      <c r="L8" s="169"/>
    </row>
    <row r="9" spans="1:12" ht="25" customHeight="1">
      <c r="B9" s="156" t="s">
        <v>230</v>
      </c>
      <c r="C9" s="177"/>
      <c r="D9" s="168"/>
      <c r="E9" s="168"/>
      <c r="F9" s="168"/>
      <c r="G9" s="168"/>
      <c r="H9" s="168"/>
      <c r="I9" s="168"/>
      <c r="J9" s="168"/>
      <c r="K9" s="168"/>
      <c r="L9" s="169"/>
    </row>
    <row r="10" spans="1:12" ht="25" customHeight="1">
      <c r="B10" s="156" t="s">
        <v>231</v>
      </c>
      <c r="C10" s="177"/>
      <c r="D10" s="168"/>
      <c r="E10" s="168"/>
      <c r="F10" s="168"/>
      <c r="G10" s="168"/>
      <c r="H10" s="168"/>
      <c r="I10" s="168"/>
      <c r="J10" s="168"/>
      <c r="K10" s="168"/>
      <c r="L10" s="169"/>
    </row>
    <row r="11" spans="1:12" ht="25" customHeight="1">
      <c r="B11" s="156" t="s">
        <v>232</v>
      </c>
      <c r="C11" s="177"/>
      <c r="D11" s="235"/>
      <c r="E11" s="235"/>
      <c r="F11" s="235"/>
      <c r="G11" s="235"/>
      <c r="H11" s="235"/>
      <c r="I11" s="235"/>
      <c r="J11" s="235"/>
      <c r="K11" s="235"/>
      <c r="L11" s="239"/>
    </row>
    <row r="12" spans="1:12" ht="60" customHeight="1">
      <c r="B12" s="151" t="s">
        <v>237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</row>
    <row r="13" spans="1:12" ht="60" customHeight="1">
      <c r="B13" s="151" t="s">
        <v>238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</row>
    <row r="14" spans="1:12" ht="60" customHeight="1">
      <c r="B14" s="152" t="s">
        <v>239</v>
      </c>
      <c r="C14" s="152"/>
      <c r="D14" s="152"/>
      <c r="E14" s="152"/>
      <c r="F14" s="152"/>
      <c r="G14" s="152"/>
      <c r="H14" s="152"/>
      <c r="I14" s="152"/>
      <c r="J14" s="152"/>
      <c r="K14" s="152"/>
      <c r="L14" s="152"/>
    </row>
    <row r="15" spans="1:12">
      <c r="B15" s="234" t="s">
        <v>41</v>
      </c>
      <c r="C15" s="234"/>
      <c r="D15" s="234"/>
      <c r="E15" s="234"/>
      <c r="F15" s="234"/>
      <c r="G15" s="234"/>
      <c r="H15" s="234"/>
      <c r="I15" s="234"/>
      <c r="J15" s="234"/>
      <c r="K15" s="234"/>
      <c r="L15" s="234"/>
    </row>
  </sheetData>
  <mergeCells count="45">
    <mergeCell ref="J11:L11"/>
    <mergeCell ref="B1:L1"/>
    <mergeCell ref="J3:L3"/>
    <mergeCell ref="J4:L4"/>
    <mergeCell ref="J5:L5"/>
    <mergeCell ref="J6:L6"/>
    <mergeCell ref="J7:L7"/>
    <mergeCell ref="D3:F3"/>
    <mergeCell ref="D4:F4"/>
    <mergeCell ref="D5:F5"/>
    <mergeCell ref="D6:F6"/>
    <mergeCell ref="D7:F7"/>
    <mergeCell ref="D8:F8"/>
    <mergeCell ref="D10:F10"/>
    <mergeCell ref="D11:F11"/>
    <mergeCell ref="B4:C4"/>
    <mergeCell ref="B5:C5"/>
    <mergeCell ref="B6:C6"/>
    <mergeCell ref="B7:C7"/>
    <mergeCell ref="G3:I3"/>
    <mergeCell ref="G4:I4"/>
    <mergeCell ref="G5:I5"/>
    <mergeCell ref="G6:I6"/>
    <mergeCell ref="G7:I7"/>
    <mergeCell ref="B2:C2"/>
    <mergeCell ref="D2:F2"/>
    <mergeCell ref="G2:I2"/>
    <mergeCell ref="J2:L2"/>
    <mergeCell ref="B3:C3"/>
    <mergeCell ref="B14:L14"/>
    <mergeCell ref="B15:L15"/>
    <mergeCell ref="D9:F9"/>
    <mergeCell ref="J8:L8"/>
    <mergeCell ref="J9:L9"/>
    <mergeCell ref="B12:L12"/>
    <mergeCell ref="B13:L13"/>
    <mergeCell ref="B8:C8"/>
    <mergeCell ref="G8:I8"/>
    <mergeCell ref="G9:I9"/>
    <mergeCell ref="G10:I10"/>
    <mergeCell ref="G11:I11"/>
    <mergeCell ref="B9:C9"/>
    <mergeCell ref="B10:C10"/>
    <mergeCell ref="B11:C11"/>
    <mergeCell ref="J10:L10"/>
  </mergeCells>
  <phoneticPr fontId="1" type="noConversion"/>
  <dataValidations count="2">
    <dataValidation type="list" allowBlank="1" showInputMessage="1" showErrorMessage="1" sqref="D3:L3" xr:uid="{AB1105EE-D3B0-4890-9FB8-35B17DBB1907}">
      <formula1>#REF!</formula1>
    </dataValidation>
    <dataValidation type="list" allowBlank="1" showInputMessage="1" showErrorMessage="1" sqref="D4:L4 D6:L11" xr:uid="{59AB815B-8D3D-4C91-860A-64AA73DA2DEA}">
      <formula1>#REF!</formula1>
    </dataValidation>
  </dataValidations>
  <hyperlinks>
    <hyperlink ref="A2" location="目錄!A1" display="回目錄頁 ↩" xr:uid="{3A7D92A6-097E-49F4-9F8C-5279CE56D4BF}"/>
    <hyperlink ref="A3" location="預設選單欄位設定!A1" display="預設選單欄位設定 ➠" xr:uid="{ACA92D1A-BE55-497D-8A69-3C74991B14A2}"/>
  </hyperlinks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77" fitToWidth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DD4D-AF4E-A04F-B825-5B99DCE238E2}">
  <sheetPr>
    <tabColor theme="9" tint="0.79998168889431442"/>
    <pageSetUpPr fitToPage="1"/>
  </sheetPr>
  <dimension ref="A1:L36"/>
  <sheetViews>
    <sheetView zoomScale="85" zoomScaleNormal="85" workbookViewId="0"/>
  </sheetViews>
  <sheetFormatPr defaultColWidth="10.81640625" defaultRowHeight="17"/>
  <cols>
    <col min="1" max="1" width="20.6328125" style="3" customWidth="1"/>
    <col min="2" max="2" width="16.6328125" style="3" customWidth="1"/>
    <col min="3" max="5" width="10.6328125" style="3" customWidth="1"/>
    <col min="6" max="12" width="10.81640625" style="3" customWidth="1"/>
    <col min="13" max="16384" width="10.81640625" style="3"/>
  </cols>
  <sheetData>
    <row r="1" spans="1:12" s="17" customFormat="1" ht="40" customHeight="1" thickBot="1">
      <c r="B1" s="180" t="s">
        <v>126</v>
      </c>
      <c r="C1" s="181"/>
      <c r="D1" s="181"/>
      <c r="E1" s="181"/>
      <c r="F1" s="181"/>
      <c r="G1" s="181"/>
      <c r="H1" s="181"/>
      <c r="I1" s="181"/>
      <c r="J1" s="181"/>
      <c r="K1" s="181"/>
      <c r="L1" s="182"/>
    </row>
    <row r="2" spans="1:12" s="17" customFormat="1" ht="25" customHeight="1">
      <c r="A2" s="50" t="s">
        <v>151</v>
      </c>
      <c r="B2" s="246" t="s">
        <v>212</v>
      </c>
      <c r="C2" s="247"/>
      <c r="D2" s="248"/>
      <c r="E2" s="248"/>
      <c r="F2" s="248"/>
      <c r="G2" s="248"/>
      <c r="H2" s="248"/>
      <c r="I2" s="248"/>
      <c r="J2" s="248"/>
      <c r="K2" s="248"/>
      <c r="L2" s="249"/>
    </row>
    <row r="3" spans="1:12" s="17" customFormat="1" ht="25" customHeight="1">
      <c r="A3" s="50" t="s">
        <v>152</v>
      </c>
      <c r="B3" s="156" t="s">
        <v>240</v>
      </c>
      <c r="C3" s="177"/>
      <c r="D3" s="168"/>
      <c r="E3" s="168"/>
      <c r="F3" s="168"/>
      <c r="G3" s="168"/>
      <c r="H3" s="168"/>
      <c r="I3" s="168"/>
      <c r="J3" s="168"/>
      <c r="K3" s="168"/>
      <c r="L3" s="169"/>
    </row>
    <row r="4" spans="1:12" s="17" customFormat="1" ht="25" customHeight="1">
      <c r="A4" s="46" t="s">
        <v>154</v>
      </c>
      <c r="B4" s="156" t="s">
        <v>241</v>
      </c>
      <c r="C4" s="177"/>
      <c r="D4" s="168"/>
      <c r="E4" s="168"/>
      <c r="F4" s="168"/>
      <c r="G4" s="168"/>
      <c r="H4" s="168"/>
      <c r="I4" s="168"/>
      <c r="J4" s="168"/>
      <c r="K4" s="168"/>
      <c r="L4" s="169"/>
    </row>
    <row r="5" spans="1:12" s="17" customFormat="1" ht="25" customHeight="1">
      <c r="A5" s="47" t="s">
        <v>160</v>
      </c>
      <c r="B5" s="156" t="s">
        <v>235</v>
      </c>
      <c r="C5" s="177"/>
      <c r="D5" s="238"/>
      <c r="E5" s="238"/>
      <c r="F5" s="238"/>
      <c r="G5" s="238"/>
      <c r="H5" s="238"/>
      <c r="I5" s="238"/>
      <c r="J5" s="238"/>
      <c r="K5" s="238"/>
      <c r="L5" s="243"/>
    </row>
    <row r="6" spans="1:12" s="17" customFormat="1" ht="25" customHeight="1">
      <c r="A6" s="48" t="s">
        <v>149</v>
      </c>
      <c r="B6" s="156" t="s">
        <v>217</v>
      </c>
      <c r="C6" s="177"/>
      <c r="D6" s="244"/>
      <c r="E6" s="244"/>
      <c r="F6" s="244"/>
      <c r="G6" s="244"/>
      <c r="H6" s="244"/>
      <c r="I6" s="244"/>
      <c r="J6" s="244"/>
      <c r="K6" s="244"/>
      <c r="L6" s="245"/>
    </row>
    <row r="7" spans="1:12" s="17" customFormat="1" ht="25" customHeight="1">
      <c r="B7" s="156" t="s">
        <v>242</v>
      </c>
      <c r="C7" s="177"/>
      <c r="D7" s="168"/>
      <c r="E7" s="168"/>
      <c r="F7" s="168"/>
      <c r="G7" s="168"/>
      <c r="H7" s="168"/>
      <c r="I7" s="168"/>
      <c r="J7" s="168"/>
      <c r="K7" s="168"/>
      <c r="L7" s="169"/>
    </row>
    <row r="8" spans="1:12" s="17" customFormat="1" ht="25" customHeight="1">
      <c r="B8" s="156" t="s">
        <v>233</v>
      </c>
      <c r="C8" s="177"/>
      <c r="D8" s="168"/>
      <c r="E8" s="168"/>
      <c r="F8" s="168"/>
      <c r="G8" s="168"/>
      <c r="H8" s="168"/>
      <c r="I8" s="168"/>
      <c r="J8" s="168"/>
      <c r="K8" s="168"/>
      <c r="L8" s="169"/>
    </row>
    <row r="9" spans="1:12" s="17" customFormat="1" ht="32" customHeight="1">
      <c r="B9" s="197" t="s">
        <v>243</v>
      </c>
      <c r="C9" s="177"/>
      <c r="D9" s="168"/>
      <c r="E9" s="168"/>
      <c r="F9" s="168"/>
      <c r="G9" s="168"/>
      <c r="H9" s="168"/>
      <c r="I9" s="168"/>
      <c r="J9" s="168"/>
      <c r="K9" s="168"/>
      <c r="L9" s="169"/>
    </row>
    <row r="10" spans="1:12" s="17" customFormat="1" ht="32" customHeight="1">
      <c r="B10" s="197" t="s">
        <v>244</v>
      </c>
      <c r="C10" s="177"/>
      <c r="D10" s="168"/>
      <c r="E10" s="168"/>
      <c r="F10" s="168"/>
      <c r="G10" s="168"/>
      <c r="H10" s="168"/>
      <c r="I10" s="168"/>
      <c r="J10" s="168"/>
      <c r="K10" s="168"/>
      <c r="L10" s="169"/>
    </row>
    <row r="11" spans="1:12" s="17" customFormat="1" ht="25" customHeight="1">
      <c r="B11" s="156" t="s">
        <v>246</v>
      </c>
      <c r="C11" s="177"/>
      <c r="D11" s="168"/>
      <c r="E11" s="168"/>
      <c r="F11" s="168"/>
      <c r="G11" s="168"/>
      <c r="H11" s="168"/>
      <c r="I11" s="168"/>
      <c r="J11" s="168"/>
      <c r="K11" s="168"/>
      <c r="L11" s="169"/>
    </row>
    <row r="12" spans="1:12" s="17" customFormat="1" ht="25" customHeight="1">
      <c r="B12" s="156" t="s">
        <v>245</v>
      </c>
      <c r="C12" s="177"/>
      <c r="D12" s="168"/>
      <c r="E12" s="168"/>
      <c r="F12" s="168"/>
      <c r="G12" s="168"/>
      <c r="H12" s="168"/>
      <c r="I12" s="168"/>
      <c r="J12" s="168"/>
      <c r="K12" s="168"/>
      <c r="L12" s="169"/>
    </row>
    <row r="13" spans="1:12" s="17" customFormat="1" ht="25" customHeight="1">
      <c r="B13" s="156" t="s">
        <v>232</v>
      </c>
      <c r="C13" s="177"/>
      <c r="D13" s="235"/>
      <c r="E13" s="235"/>
      <c r="F13" s="235"/>
      <c r="G13" s="235"/>
      <c r="H13" s="235"/>
      <c r="I13" s="235"/>
      <c r="J13" s="235"/>
      <c r="K13" s="235"/>
      <c r="L13" s="239"/>
    </row>
    <row r="14" spans="1:12" s="17" customFormat="1" ht="25" customHeight="1">
      <c r="B14" s="156" t="s">
        <v>247</v>
      </c>
      <c r="C14" s="177"/>
      <c r="D14" s="235"/>
      <c r="E14" s="235"/>
      <c r="F14" s="235"/>
      <c r="G14" s="235"/>
      <c r="H14" s="235"/>
      <c r="I14" s="235"/>
      <c r="J14" s="235"/>
      <c r="K14" s="235"/>
      <c r="L14" s="239"/>
    </row>
    <row r="15" spans="1:12" s="17" customFormat="1" ht="25" customHeight="1">
      <c r="B15" s="156" t="s">
        <v>222</v>
      </c>
      <c r="C15" s="28" t="s">
        <v>51</v>
      </c>
      <c r="D15" s="32" t="s">
        <v>121</v>
      </c>
      <c r="E15" s="32" t="s">
        <v>122</v>
      </c>
      <c r="F15" s="32" t="s">
        <v>123</v>
      </c>
      <c r="G15" s="32" t="s">
        <v>121</v>
      </c>
      <c r="H15" s="32" t="s">
        <v>122</v>
      </c>
      <c r="I15" s="32" t="s">
        <v>123</v>
      </c>
      <c r="J15" s="32" t="s">
        <v>121</v>
      </c>
      <c r="K15" s="32" t="s">
        <v>122</v>
      </c>
      <c r="L15" s="33" t="s">
        <v>123</v>
      </c>
    </row>
    <row r="16" spans="1:12" s="17" customFormat="1" ht="25" customHeight="1">
      <c r="B16" s="156"/>
      <c r="C16" s="28" t="s">
        <v>48</v>
      </c>
      <c r="D16" s="57"/>
      <c r="E16" s="60"/>
      <c r="F16" s="130">
        <f>D16*E16</f>
        <v>0</v>
      </c>
      <c r="G16" s="57"/>
      <c r="H16" s="60"/>
      <c r="I16" s="130">
        <f>G16*H16</f>
        <v>0</v>
      </c>
      <c r="J16" s="57"/>
      <c r="K16" s="60"/>
      <c r="L16" s="128">
        <f>J16*K16</f>
        <v>0</v>
      </c>
    </row>
    <row r="17" spans="2:12" s="17" customFormat="1" ht="25" customHeight="1">
      <c r="B17" s="156"/>
      <c r="C17" s="28" t="s">
        <v>110</v>
      </c>
      <c r="D17" s="57"/>
      <c r="E17" s="60"/>
      <c r="F17" s="130">
        <f t="shared" ref="F17:F27" si="0">D17*E17</f>
        <v>0</v>
      </c>
      <c r="G17" s="57"/>
      <c r="H17" s="60"/>
      <c r="I17" s="130">
        <f t="shared" ref="I17:I27" si="1">G17*H17</f>
        <v>0</v>
      </c>
      <c r="J17" s="57"/>
      <c r="K17" s="60"/>
      <c r="L17" s="128">
        <f t="shared" ref="L17:L27" si="2">J17*K17</f>
        <v>0</v>
      </c>
    </row>
    <row r="18" spans="2:12" s="17" customFormat="1" ht="25" customHeight="1">
      <c r="B18" s="156"/>
      <c r="C18" s="28" t="s">
        <v>111</v>
      </c>
      <c r="D18" s="57"/>
      <c r="E18" s="60"/>
      <c r="F18" s="130">
        <f t="shared" si="0"/>
        <v>0</v>
      </c>
      <c r="G18" s="57"/>
      <c r="H18" s="60"/>
      <c r="I18" s="130">
        <f t="shared" si="1"/>
        <v>0</v>
      </c>
      <c r="J18" s="57"/>
      <c r="K18" s="60"/>
      <c r="L18" s="128">
        <f t="shared" si="2"/>
        <v>0</v>
      </c>
    </row>
    <row r="19" spans="2:12" s="17" customFormat="1" ht="25" customHeight="1">
      <c r="B19" s="156"/>
      <c r="C19" s="28" t="s">
        <v>112</v>
      </c>
      <c r="D19" s="57"/>
      <c r="E19" s="60"/>
      <c r="F19" s="130">
        <f t="shared" si="0"/>
        <v>0</v>
      </c>
      <c r="G19" s="57"/>
      <c r="H19" s="60"/>
      <c r="I19" s="130">
        <f t="shared" si="1"/>
        <v>0</v>
      </c>
      <c r="J19" s="57"/>
      <c r="K19" s="60"/>
      <c r="L19" s="128">
        <f t="shared" si="2"/>
        <v>0</v>
      </c>
    </row>
    <row r="20" spans="2:12" s="17" customFormat="1" ht="25" customHeight="1">
      <c r="B20" s="156"/>
      <c r="C20" s="28" t="s">
        <v>113</v>
      </c>
      <c r="D20" s="57"/>
      <c r="E20" s="60"/>
      <c r="F20" s="130">
        <f t="shared" si="0"/>
        <v>0</v>
      </c>
      <c r="G20" s="57"/>
      <c r="H20" s="60"/>
      <c r="I20" s="130">
        <f t="shared" si="1"/>
        <v>0</v>
      </c>
      <c r="J20" s="57"/>
      <c r="K20" s="60"/>
      <c r="L20" s="128">
        <f t="shared" si="2"/>
        <v>0</v>
      </c>
    </row>
    <row r="21" spans="2:12" s="17" customFormat="1" ht="25" customHeight="1">
      <c r="B21" s="156"/>
      <c r="C21" s="28" t="s">
        <v>114</v>
      </c>
      <c r="D21" s="57"/>
      <c r="E21" s="60"/>
      <c r="F21" s="130">
        <f t="shared" si="0"/>
        <v>0</v>
      </c>
      <c r="G21" s="57"/>
      <c r="H21" s="60"/>
      <c r="I21" s="130">
        <f t="shared" si="1"/>
        <v>0</v>
      </c>
      <c r="J21" s="57"/>
      <c r="K21" s="60"/>
      <c r="L21" s="128">
        <f t="shared" si="2"/>
        <v>0</v>
      </c>
    </row>
    <row r="22" spans="2:12" s="17" customFormat="1" ht="25" customHeight="1">
      <c r="B22" s="156"/>
      <c r="C22" s="28" t="s">
        <v>115</v>
      </c>
      <c r="D22" s="57"/>
      <c r="E22" s="60"/>
      <c r="F22" s="130">
        <f t="shared" si="0"/>
        <v>0</v>
      </c>
      <c r="G22" s="57"/>
      <c r="H22" s="60"/>
      <c r="I22" s="130">
        <f t="shared" si="1"/>
        <v>0</v>
      </c>
      <c r="J22" s="57"/>
      <c r="K22" s="60"/>
      <c r="L22" s="128">
        <f t="shared" si="2"/>
        <v>0</v>
      </c>
    </row>
    <row r="23" spans="2:12" s="17" customFormat="1" ht="25" customHeight="1">
      <c r="B23" s="156"/>
      <c r="C23" s="28" t="s">
        <v>116</v>
      </c>
      <c r="D23" s="57"/>
      <c r="E23" s="60"/>
      <c r="F23" s="130">
        <f t="shared" si="0"/>
        <v>0</v>
      </c>
      <c r="G23" s="57"/>
      <c r="H23" s="60"/>
      <c r="I23" s="130">
        <f t="shared" si="1"/>
        <v>0</v>
      </c>
      <c r="J23" s="57"/>
      <c r="K23" s="60"/>
      <c r="L23" s="128">
        <f t="shared" si="2"/>
        <v>0</v>
      </c>
    </row>
    <row r="24" spans="2:12" s="17" customFormat="1" ht="25" customHeight="1">
      <c r="B24" s="156"/>
      <c r="C24" s="28" t="s">
        <v>117</v>
      </c>
      <c r="D24" s="57"/>
      <c r="E24" s="60"/>
      <c r="F24" s="130">
        <f t="shared" si="0"/>
        <v>0</v>
      </c>
      <c r="G24" s="57"/>
      <c r="H24" s="60"/>
      <c r="I24" s="130">
        <f t="shared" si="1"/>
        <v>0</v>
      </c>
      <c r="J24" s="57"/>
      <c r="K24" s="60"/>
      <c r="L24" s="128">
        <f t="shared" si="2"/>
        <v>0</v>
      </c>
    </row>
    <row r="25" spans="2:12" s="17" customFormat="1" ht="25" customHeight="1">
      <c r="B25" s="156"/>
      <c r="C25" s="28" t="s">
        <v>118</v>
      </c>
      <c r="D25" s="57"/>
      <c r="E25" s="60"/>
      <c r="F25" s="130">
        <f t="shared" si="0"/>
        <v>0</v>
      </c>
      <c r="G25" s="57"/>
      <c r="H25" s="60"/>
      <c r="I25" s="130">
        <f t="shared" si="1"/>
        <v>0</v>
      </c>
      <c r="J25" s="57"/>
      <c r="K25" s="60"/>
      <c r="L25" s="128">
        <f t="shared" si="2"/>
        <v>0</v>
      </c>
    </row>
    <row r="26" spans="2:12" s="17" customFormat="1" ht="25" customHeight="1">
      <c r="B26" s="156"/>
      <c r="C26" s="28" t="s">
        <v>119</v>
      </c>
      <c r="D26" s="57"/>
      <c r="E26" s="60"/>
      <c r="F26" s="130">
        <f t="shared" si="0"/>
        <v>0</v>
      </c>
      <c r="G26" s="57"/>
      <c r="H26" s="60"/>
      <c r="I26" s="130">
        <f t="shared" si="1"/>
        <v>0</v>
      </c>
      <c r="J26" s="57"/>
      <c r="K26" s="60"/>
      <c r="L26" s="128">
        <f t="shared" si="2"/>
        <v>0</v>
      </c>
    </row>
    <row r="27" spans="2:12" ht="25" customHeight="1">
      <c r="B27" s="156"/>
      <c r="C27" s="28" t="s">
        <v>120</v>
      </c>
      <c r="D27" s="57"/>
      <c r="E27" s="60"/>
      <c r="F27" s="130">
        <f t="shared" si="0"/>
        <v>0</v>
      </c>
      <c r="G27" s="57"/>
      <c r="H27" s="60"/>
      <c r="I27" s="130">
        <f t="shared" si="1"/>
        <v>0</v>
      </c>
      <c r="J27" s="57"/>
      <c r="K27" s="60"/>
      <c r="L27" s="128">
        <f t="shared" si="2"/>
        <v>0</v>
      </c>
    </row>
    <row r="28" spans="2:12" ht="25" customHeight="1" thickBot="1">
      <c r="B28" s="157"/>
      <c r="C28" s="34" t="s">
        <v>11</v>
      </c>
      <c r="D28" s="63">
        <f>SUM(D16:D27)</f>
        <v>0</v>
      </c>
      <c r="E28" s="126"/>
      <c r="F28" s="131">
        <f t="shared" ref="F28" si="3">SUM(F16:F27)</f>
        <v>0</v>
      </c>
      <c r="G28" s="63">
        <f>SUM(G16:G27)</f>
        <v>0</v>
      </c>
      <c r="H28" s="126"/>
      <c r="I28" s="131">
        <f t="shared" ref="I28" si="4">SUM(I16:I27)</f>
        <v>0</v>
      </c>
      <c r="J28" s="63">
        <f>SUM(J16:J27)</f>
        <v>0</v>
      </c>
      <c r="K28" s="126"/>
      <c r="L28" s="129">
        <f t="shared" ref="L28" si="5">SUM(L16:L27)</f>
        <v>0</v>
      </c>
    </row>
    <row r="29" spans="2:12" s="31" customFormat="1" ht="64" customHeight="1">
      <c r="B29" s="151" t="s">
        <v>248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</row>
    <row r="30" spans="2:12" ht="64" customHeight="1">
      <c r="B30" s="151" t="s">
        <v>249</v>
      </c>
      <c r="C30" s="151"/>
      <c r="D30" s="151"/>
      <c r="E30" s="151"/>
      <c r="F30" s="151"/>
      <c r="G30" s="151"/>
      <c r="H30" s="151"/>
      <c r="I30" s="151"/>
      <c r="J30" s="151"/>
      <c r="K30" s="151"/>
      <c r="L30" s="151"/>
    </row>
    <row r="31" spans="2:12" s="70" customFormat="1" ht="64" customHeight="1">
      <c r="B31" s="151" t="s">
        <v>250</v>
      </c>
      <c r="C31" s="151"/>
      <c r="D31" s="151"/>
      <c r="E31" s="151"/>
      <c r="F31" s="151"/>
      <c r="G31" s="151"/>
      <c r="H31" s="151"/>
      <c r="I31" s="151"/>
      <c r="J31" s="151"/>
      <c r="K31" s="151"/>
      <c r="L31" s="151"/>
    </row>
    <row r="32" spans="2:12">
      <c r="B32" s="234" t="s">
        <v>41</v>
      </c>
      <c r="C32" s="234"/>
      <c r="D32" s="234"/>
      <c r="E32" s="234"/>
      <c r="F32" s="234"/>
      <c r="G32" s="234"/>
      <c r="H32" s="234"/>
      <c r="I32" s="234"/>
      <c r="J32" s="234"/>
      <c r="K32" s="234"/>
      <c r="L32" s="234"/>
    </row>
    <row r="33" spans="3:3">
      <c r="C33" s="11"/>
    </row>
    <row r="34" spans="3:3">
      <c r="C34" s="11"/>
    </row>
    <row r="35" spans="3:3">
      <c r="C35" s="11"/>
    </row>
    <row r="36" spans="3:3">
      <c r="C36" s="11"/>
    </row>
  </sheetData>
  <mergeCells count="58">
    <mergeCell ref="B1:L1"/>
    <mergeCell ref="B3:C3"/>
    <mergeCell ref="D3:F3"/>
    <mergeCell ref="G3:I3"/>
    <mergeCell ref="J3:L3"/>
    <mergeCell ref="B2:C2"/>
    <mergeCell ref="D2:F2"/>
    <mergeCell ref="G2:I2"/>
    <mergeCell ref="J2:L2"/>
    <mergeCell ref="B13:C13"/>
    <mergeCell ref="B12:C12"/>
    <mergeCell ref="B4:C4"/>
    <mergeCell ref="B9:C9"/>
    <mergeCell ref="B14:C14"/>
    <mergeCell ref="B11:C11"/>
    <mergeCell ref="B8:C8"/>
    <mergeCell ref="B10:C10"/>
    <mergeCell ref="B7:C7"/>
    <mergeCell ref="B5:C5"/>
    <mergeCell ref="B6:C6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4:F14"/>
    <mergeCell ref="D13:F1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4:I14"/>
    <mergeCell ref="G13:I13"/>
    <mergeCell ref="J4:L4"/>
    <mergeCell ref="J5:L5"/>
    <mergeCell ref="J6:L6"/>
    <mergeCell ref="J7:L7"/>
    <mergeCell ref="J8:L8"/>
    <mergeCell ref="J9:L9"/>
    <mergeCell ref="J10:L10"/>
    <mergeCell ref="J11:L11"/>
    <mergeCell ref="J12:L12"/>
    <mergeCell ref="J14:L14"/>
    <mergeCell ref="J13:L13"/>
    <mergeCell ref="B29:L29"/>
    <mergeCell ref="B30:L30"/>
    <mergeCell ref="B31:L31"/>
    <mergeCell ref="B15:B28"/>
    <mergeCell ref="B32:L32"/>
  </mergeCells>
  <phoneticPr fontId="1" type="noConversion"/>
  <dataValidations count="2">
    <dataValidation type="list" allowBlank="1" showInputMessage="1" showErrorMessage="1" sqref="G15 D15 J15" xr:uid="{BC42C9BD-70D6-454F-AEFE-3BD3E0EBB4B4}">
      <formula1>#REF!</formula1>
    </dataValidation>
    <dataValidation type="list" allowBlank="1" showInputMessage="1" showErrorMessage="1" sqref="D7:L14 D3:L5" xr:uid="{5772EFA7-8D24-4BA5-9F47-ACCFFFA20399}">
      <formula1>#REF!</formula1>
    </dataValidation>
  </dataValidations>
  <hyperlinks>
    <hyperlink ref="A2" location="目錄!A1" display="回目錄頁 ↩" xr:uid="{96ED4AB3-5F8F-43E5-9B7A-34BDEFD7EDB9}"/>
    <hyperlink ref="A3" location="預設選單欄位設定!A1" display="預設選單欄位設定 ➠" xr:uid="{829A5780-C30B-40DC-A353-34B9E417069C}"/>
  </hyperlinks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97" fitToWidth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AFA7-5AED-4C3F-91BE-8FCEED64FFEE}">
  <sheetPr>
    <tabColor theme="9" tint="0.79998168889431442"/>
  </sheetPr>
  <dimension ref="A1:L19"/>
  <sheetViews>
    <sheetView zoomScale="80" zoomScaleNormal="80" workbookViewId="0"/>
  </sheetViews>
  <sheetFormatPr defaultRowHeight="17"/>
  <cols>
    <col min="1" max="1" width="20.6328125" customWidth="1"/>
    <col min="2" max="2" width="16.6328125" customWidth="1"/>
    <col min="3" max="3" width="15.6328125" customWidth="1"/>
  </cols>
  <sheetData>
    <row r="1" spans="1:12" ht="40" customHeight="1">
      <c r="A1" s="17"/>
      <c r="B1" s="277" t="s">
        <v>170</v>
      </c>
      <c r="C1" s="278"/>
      <c r="D1" s="278"/>
      <c r="E1" s="278"/>
      <c r="F1" s="278"/>
      <c r="G1" s="278"/>
      <c r="H1" s="278"/>
      <c r="I1" s="278"/>
      <c r="J1" s="278"/>
      <c r="K1" s="278"/>
      <c r="L1" s="279"/>
    </row>
    <row r="2" spans="1:12" ht="25" customHeight="1">
      <c r="A2" s="50" t="s">
        <v>151</v>
      </c>
      <c r="B2" s="280" t="s">
        <v>212</v>
      </c>
      <c r="C2" s="281"/>
      <c r="D2" s="282"/>
      <c r="E2" s="282"/>
      <c r="F2" s="282"/>
      <c r="G2" s="282"/>
      <c r="H2" s="282"/>
      <c r="I2" s="282"/>
      <c r="J2" s="282"/>
      <c r="K2" s="282"/>
      <c r="L2" s="283"/>
    </row>
    <row r="3" spans="1:12" ht="25" customHeight="1">
      <c r="A3" s="50" t="s">
        <v>152</v>
      </c>
      <c r="B3" s="280" t="s">
        <v>203</v>
      </c>
      <c r="C3" s="281"/>
      <c r="D3" s="273"/>
      <c r="E3" s="273"/>
      <c r="F3" s="273"/>
      <c r="G3" s="273"/>
      <c r="H3" s="273"/>
      <c r="I3" s="273"/>
      <c r="J3" s="273"/>
      <c r="K3" s="273"/>
      <c r="L3" s="274"/>
    </row>
    <row r="4" spans="1:12" ht="25" customHeight="1">
      <c r="A4" s="46" t="s">
        <v>154</v>
      </c>
      <c r="B4" s="268" t="s">
        <v>134</v>
      </c>
      <c r="C4" s="71" t="s">
        <v>268</v>
      </c>
      <c r="D4" s="260"/>
      <c r="E4" s="260"/>
      <c r="F4" s="260"/>
      <c r="G4" s="260"/>
      <c r="H4" s="260"/>
      <c r="I4" s="260"/>
      <c r="J4" s="260"/>
      <c r="K4" s="260"/>
      <c r="L4" s="261"/>
    </row>
    <row r="5" spans="1:12" ht="25" customHeight="1">
      <c r="A5" s="47" t="s">
        <v>160</v>
      </c>
      <c r="B5" s="268"/>
      <c r="C5" s="71" t="s">
        <v>269</v>
      </c>
      <c r="D5" s="275"/>
      <c r="E5" s="275"/>
      <c r="F5" s="275"/>
      <c r="G5" s="275"/>
      <c r="H5" s="275"/>
      <c r="I5" s="275"/>
      <c r="J5" s="275"/>
      <c r="K5" s="275"/>
      <c r="L5" s="276"/>
    </row>
    <row r="6" spans="1:12" ht="25" customHeight="1">
      <c r="A6" s="48" t="s">
        <v>149</v>
      </c>
      <c r="B6" s="268"/>
      <c r="C6" s="71" t="s">
        <v>270</v>
      </c>
      <c r="D6" s="275"/>
      <c r="E6" s="275"/>
      <c r="F6" s="275"/>
      <c r="G6" s="275"/>
      <c r="H6" s="275"/>
      <c r="I6" s="275"/>
      <c r="J6" s="275"/>
      <c r="K6" s="275"/>
      <c r="L6" s="276"/>
    </row>
    <row r="7" spans="1:12" ht="25" customHeight="1">
      <c r="A7" s="49"/>
      <c r="B7" s="268" t="s">
        <v>171</v>
      </c>
      <c r="C7" s="71" t="s">
        <v>271</v>
      </c>
      <c r="D7" s="260"/>
      <c r="E7" s="260"/>
      <c r="F7" s="260"/>
      <c r="G7" s="260"/>
      <c r="H7" s="260"/>
      <c r="I7" s="260"/>
      <c r="J7" s="260"/>
      <c r="K7" s="260"/>
      <c r="L7" s="261"/>
    </row>
    <row r="8" spans="1:12" ht="25" customHeight="1">
      <c r="A8" s="49"/>
      <c r="B8" s="268"/>
      <c r="C8" s="71" t="s">
        <v>272</v>
      </c>
      <c r="D8" s="260"/>
      <c r="E8" s="260"/>
      <c r="F8" s="260"/>
      <c r="G8" s="260"/>
      <c r="H8" s="260"/>
      <c r="I8" s="260"/>
      <c r="J8" s="260"/>
      <c r="K8" s="260"/>
      <c r="L8" s="261"/>
    </row>
    <row r="9" spans="1:12" ht="25" customHeight="1">
      <c r="A9" s="49"/>
      <c r="B9" s="268"/>
      <c r="C9" s="71" t="s">
        <v>273</v>
      </c>
      <c r="D9" s="262"/>
      <c r="E9" s="262"/>
      <c r="F9" s="262"/>
      <c r="G9" s="262"/>
      <c r="H9" s="262"/>
      <c r="I9" s="262"/>
      <c r="J9" s="262"/>
      <c r="K9" s="262"/>
      <c r="L9" s="263"/>
    </row>
    <row r="10" spans="1:12" ht="25" customHeight="1">
      <c r="A10" s="49"/>
      <c r="B10" s="268"/>
      <c r="C10" s="71" t="s">
        <v>274</v>
      </c>
      <c r="D10" s="269"/>
      <c r="E10" s="270"/>
      <c r="F10" s="271"/>
      <c r="G10" s="260"/>
      <c r="H10" s="260"/>
      <c r="I10" s="260"/>
      <c r="J10" s="260"/>
      <c r="K10" s="260"/>
      <c r="L10" s="261"/>
    </row>
    <row r="11" spans="1:12" ht="25" customHeight="1">
      <c r="B11" s="268" t="s">
        <v>135</v>
      </c>
      <c r="C11" s="71" t="s">
        <v>282</v>
      </c>
      <c r="D11" s="262"/>
      <c r="E11" s="262"/>
      <c r="F11" s="262"/>
      <c r="G11" s="262"/>
      <c r="H11" s="262"/>
      <c r="I11" s="262"/>
      <c r="J11" s="262"/>
      <c r="K11" s="262"/>
      <c r="L11" s="263"/>
    </row>
    <row r="12" spans="1:12" ht="25" customHeight="1">
      <c r="B12" s="268"/>
      <c r="C12" s="71" t="s">
        <v>281</v>
      </c>
      <c r="D12" s="262"/>
      <c r="E12" s="262"/>
      <c r="F12" s="262"/>
      <c r="G12" s="262"/>
      <c r="H12" s="262"/>
      <c r="I12" s="262"/>
      <c r="J12" s="262"/>
      <c r="K12" s="262"/>
      <c r="L12" s="263"/>
    </row>
    <row r="13" spans="1:12" ht="25" customHeight="1">
      <c r="B13" s="268"/>
      <c r="C13" s="71" t="s">
        <v>280</v>
      </c>
      <c r="D13" s="260"/>
      <c r="E13" s="260"/>
      <c r="F13" s="260"/>
      <c r="G13" s="260"/>
      <c r="H13" s="260"/>
      <c r="I13" s="260"/>
      <c r="J13" s="260"/>
      <c r="K13" s="260"/>
      <c r="L13" s="261"/>
    </row>
    <row r="14" spans="1:12" ht="25" customHeight="1">
      <c r="B14" s="268"/>
      <c r="C14" s="71" t="s">
        <v>279</v>
      </c>
      <c r="D14" s="260"/>
      <c r="E14" s="260"/>
      <c r="F14" s="260"/>
      <c r="G14" s="260"/>
      <c r="H14" s="260"/>
      <c r="I14" s="260"/>
      <c r="J14" s="260"/>
      <c r="K14" s="260"/>
      <c r="L14" s="261"/>
    </row>
    <row r="15" spans="1:12" ht="25" customHeight="1">
      <c r="B15" s="268"/>
      <c r="C15" s="71" t="s">
        <v>278</v>
      </c>
      <c r="D15" s="284"/>
      <c r="E15" s="284"/>
      <c r="F15" s="284"/>
      <c r="G15" s="284"/>
      <c r="H15" s="284"/>
      <c r="I15" s="284"/>
      <c r="J15" s="284"/>
      <c r="K15" s="284"/>
      <c r="L15" s="285"/>
    </row>
    <row r="16" spans="1:12" ht="25" customHeight="1">
      <c r="B16" s="268"/>
      <c r="C16" s="71" t="s">
        <v>277</v>
      </c>
      <c r="D16" s="264"/>
      <c r="E16" s="264"/>
      <c r="F16" s="264"/>
      <c r="G16" s="264"/>
      <c r="H16" s="264"/>
      <c r="I16" s="264"/>
      <c r="J16" s="264"/>
      <c r="K16" s="264"/>
      <c r="L16" s="265"/>
    </row>
    <row r="17" spans="2:12" ht="25" customHeight="1">
      <c r="B17" s="268"/>
      <c r="C17" s="71" t="s">
        <v>276</v>
      </c>
      <c r="D17" s="260"/>
      <c r="E17" s="260"/>
      <c r="F17" s="260"/>
      <c r="G17" s="260"/>
      <c r="H17" s="260"/>
      <c r="I17" s="260"/>
      <c r="J17" s="260"/>
      <c r="K17" s="260"/>
      <c r="L17" s="261"/>
    </row>
    <row r="18" spans="2:12" ht="25" customHeight="1" thickBot="1">
      <c r="B18" s="272"/>
      <c r="C18" s="72" t="s">
        <v>275</v>
      </c>
      <c r="D18" s="258"/>
      <c r="E18" s="258"/>
      <c r="F18" s="258"/>
      <c r="G18" s="258"/>
      <c r="H18" s="258"/>
      <c r="I18" s="258"/>
      <c r="J18" s="258"/>
      <c r="K18" s="258"/>
      <c r="L18" s="259"/>
    </row>
    <row r="19" spans="2:12">
      <c r="B19" s="234" t="s">
        <v>41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</row>
  </sheetData>
  <mergeCells count="58">
    <mergeCell ref="D15:F15"/>
    <mergeCell ref="G15:I15"/>
    <mergeCell ref="J15:L15"/>
    <mergeCell ref="D18:F18"/>
    <mergeCell ref="G18:I18"/>
    <mergeCell ref="J18:L18"/>
    <mergeCell ref="D16:F16"/>
    <mergeCell ref="G16:I16"/>
    <mergeCell ref="J16:L16"/>
    <mergeCell ref="D17:F17"/>
    <mergeCell ref="G17:I17"/>
    <mergeCell ref="J17:L17"/>
    <mergeCell ref="J12:L12"/>
    <mergeCell ref="D13:F13"/>
    <mergeCell ref="G13:I13"/>
    <mergeCell ref="J13:L13"/>
    <mergeCell ref="D14:F14"/>
    <mergeCell ref="G14:I14"/>
    <mergeCell ref="J14:L14"/>
    <mergeCell ref="D6:F6"/>
    <mergeCell ref="G6:I6"/>
    <mergeCell ref="J6:L6"/>
    <mergeCell ref="D11:F11"/>
    <mergeCell ref="G11:I11"/>
    <mergeCell ref="J11:L11"/>
    <mergeCell ref="J7:L7"/>
    <mergeCell ref="J3:L3"/>
    <mergeCell ref="D5:F5"/>
    <mergeCell ref="G5:I5"/>
    <mergeCell ref="J5:L5"/>
    <mergeCell ref="B1:L1"/>
    <mergeCell ref="B2:C2"/>
    <mergeCell ref="D2:F2"/>
    <mergeCell ref="G2:I2"/>
    <mergeCell ref="J2:L2"/>
    <mergeCell ref="D4:F4"/>
    <mergeCell ref="G4:I4"/>
    <mergeCell ref="J4:L4"/>
    <mergeCell ref="B3:C3"/>
    <mergeCell ref="B4:B6"/>
    <mergeCell ref="D3:F3"/>
    <mergeCell ref="G3:I3"/>
    <mergeCell ref="B7:B10"/>
    <mergeCell ref="D10:F10"/>
    <mergeCell ref="G10:I10"/>
    <mergeCell ref="J10:L10"/>
    <mergeCell ref="B19:L19"/>
    <mergeCell ref="B11:B18"/>
    <mergeCell ref="D7:F7"/>
    <mergeCell ref="G7:I7"/>
    <mergeCell ref="D8:F8"/>
    <mergeCell ref="G8:I8"/>
    <mergeCell ref="J8:L8"/>
    <mergeCell ref="D9:F9"/>
    <mergeCell ref="G9:I9"/>
    <mergeCell ref="J9:L9"/>
    <mergeCell ref="D12:F12"/>
    <mergeCell ref="G12:I12"/>
  </mergeCells>
  <phoneticPr fontId="1" type="noConversion"/>
  <dataValidations count="2">
    <dataValidation type="list" allowBlank="1" showInputMessage="1" showErrorMessage="1" sqref="D4:L4" xr:uid="{EE0EC1E4-F6CA-42AF-A396-8BB71C00ABC6}">
      <formula1>#REF!</formula1>
    </dataValidation>
    <dataValidation type="list" allowBlank="1" showInputMessage="1" showErrorMessage="1" sqref="D17:L18 D13:L14 D10:L10 D7:L8" xr:uid="{BA57DC1C-0D66-4C1C-A008-F08EA71C384D}">
      <formula1>#REF!</formula1>
    </dataValidation>
  </dataValidations>
  <hyperlinks>
    <hyperlink ref="A2" location="目錄!A1" display="回目錄頁 ↩" xr:uid="{B583778F-7400-425B-A034-2F50EEAB1C79}"/>
    <hyperlink ref="A3" location="預設選單欄位設定!A1" display="預設選單欄位設定 ➠" xr:uid="{1DE7EF9F-B042-40EF-866D-610C12081EF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11E7-2501-2542-9B3F-DC361901A3BF}">
  <sheetPr>
    <tabColor rgb="FFFFFDCB"/>
    <pageSetUpPr fitToPage="1"/>
  </sheetPr>
  <dimension ref="A1:I23"/>
  <sheetViews>
    <sheetView topLeftCell="A7" zoomScaleNormal="100" workbookViewId="0">
      <selection activeCell="K9" sqref="K9"/>
    </sheetView>
  </sheetViews>
  <sheetFormatPr defaultColWidth="10.81640625" defaultRowHeight="15.5"/>
  <cols>
    <col min="1" max="1" width="18.1796875" style="17" customWidth="1"/>
    <col min="2" max="2" width="16.6328125" style="17" customWidth="1"/>
    <col min="3" max="3" width="9.81640625" style="17" customWidth="1"/>
    <col min="4" max="5" width="13.453125" style="17" customWidth="1"/>
    <col min="6" max="7" width="12.453125" style="17" customWidth="1"/>
    <col min="8" max="9" width="12.26953125" style="17" customWidth="1"/>
    <col min="10" max="16384" width="10.81640625" style="17"/>
  </cols>
  <sheetData>
    <row r="1" spans="1:9" ht="40" customHeight="1" thickBot="1">
      <c r="B1" s="293" t="s">
        <v>172</v>
      </c>
      <c r="C1" s="294"/>
      <c r="D1" s="294"/>
      <c r="E1" s="294"/>
      <c r="F1" s="294"/>
      <c r="G1" s="294"/>
      <c r="H1" s="294"/>
      <c r="I1" s="294"/>
    </row>
    <row r="2" spans="1:9" ht="25" customHeight="1">
      <c r="A2" s="50" t="s">
        <v>151</v>
      </c>
      <c r="B2" s="185" t="s">
        <v>144</v>
      </c>
      <c r="C2" s="178"/>
      <c r="D2" s="291">
        <v>1</v>
      </c>
      <c r="E2" s="291"/>
      <c r="F2" s="291">
        <v>2</v>
      </c>
      <c r="G2" s="291"/>
      <c r="H2" s="291">
        <v>3</v>
      </c>
      <c r="I2" s="291"/>
    </row>
    <row r="3" spans="1:9" ht="25" customHeight="1">
      <c r="A3" s="50" t="s">
        <v>152</v>
      </c>
      <c r="B3" s="280" t="s">
        <v>283</v>
      </c>
      <c r="C3" s="281"/>
      <c r="D3" s="260"/>
      <c r="E3" s="260"/>
      <c r="F3" s="260"/>
      <c r="G3" s="260"/>
      <c r="H3" s="260"/>
      <c r="I3" s="260"/>
    </row>
    <row r="4" spans="1:9" ht="25" customHeight="1">
      <c r="A4" s="46" t="s">
        <v>154</v>
      </c>
      <c r="B4" s="280" t="s">
        <v>284</v>
      </c>
      <c r="C4" s="281"/>
      <c r="D4" s="292"/>
      <c r="E4" s="292"/>
      <c r="F4" s="292"/>
      <c r="G4" s="292"/>
      <c r="H4" s="292"/>
      <c r="I4" s="292"/>
    </row>
    <row r="5" spans="1:9" ht="25" customHeight="1">
      <c r="A5" s="47" t="s">
        <v>160</v>
      </c>
      <c r="B5" s="280" t="s">
        <v>297</v>
      </c>
      <c r="C5" s="281"/>
      <c r="D5" s="260"/>
      <c r="E5" s="260"/>
      <c r="F5" s="260"/>
      <c r="G5" s="260"/>
      <c r="H5" s="260"/>
      <c r="I5" s="260"/>
    </row>
    <row r="6" spans="1:9" ht="25" customHeight="1">
      <c r="A6" s="48" t="s">
        <v>149</v>
      </c>
      <c r="B6" s="280" t="s">
        <v>285</v>
      </c>
      <c r="C6" s="281"/>
      <c r="D6" s="282"/>
      <c r="E6" s="282"/>
      <c r="F6" s="282"/>
      <c r="G6" s="282"/>
      <c r="H6" s="282"/>
      <c r="I6" s="282"/>
    </row>
    <row r="7" spans="1:9" ht="25" customHeight="1">
      <c r="B7" s="280" t="s">
        <v>286</v>
      </c>
      <c r="C7" s="281"/>
      <c r="D7" s="275"/>
      <c r="E7" s="275"/>
      <c r="F7" s="275"/>
      <c r="G7" s="275"/>
      <c r="H7" s="275"/>
      <c r="I7" s="275"/>
    </row>
    <row r="8" spans="1:9" ht="38" customHeight="1">
      <c r="B8" s="280" t="s">
        <v>287</v>
      </c>
      <c r="C8" s="281"/>
      <c r="D8" s="287"/>
      <c r="E8" s="287"/>
      <c r="F8" s="287"/>
      <c r="G8" s="287"/>
      <c r="H8" s="287"/>
      <c r="I8" s="287"/>
    </row>
    <row r="9" spans="1:9" ht="46.5" customHeight="1">
      <c r="B9" s="288" t="s">
        <v>288</v>
      </c>
      <c r="C9" s="289"/>
      <c r="D9" s="287"/>
      <c r="E9" s="287"/>
      <c r="F9" s="287"/>
      <c r="G9" s="287"/>
      <c r="H9" s="287"/>
      <c r="I9" s="287"/>
    </row>
    <row r="10" spans="1:9" ht="25" customHeight="1">
      <c r="B10" s="280" t="s">
        <v>136</v>
      </c>
      <c r="C10" s="65" t="s">
        <v>14</v>
      </c>
      <c r="D10" s="65" t="s">
        <v>15</v>
      </c>
      <c r="E10" s="65" t="s">
        <v>140</v>
      </c>
      <c r="F10" s="65" t="s">
        <v>15</v>
      </c>
      <c r="G10" s="65" t="s">
        <v>140</v>
      </c>
      <c r="H10" s="65" t="s">
        <v>15</v>
      </c>
      <c r="I10" s="65" t="s">
        <v>140</v>
      </c>
    </row>
    <row r="11" spans="1:9" ht="55" customHeight="1">
      <c r="B11" s="280"/>
      <c r="C11" s="64" t="s">
        <v>290</v>
      </c>
      <c r="D11" s="78"/>
      <c r="E11" s="74"/>
      <c r="F11" s="78"/>
      <c r="G11" s="74"/>
      <c r="H11" s="78"/>
      <c r="I11" s="74"/>
    </row>
    <row r="12" spans="1:9" ht="53.5" customHeight="1">
      <c r="B12" s="280"/>
      <c r="C12" s="64" t="s">
        <v>289</v>
      </c>
      <c r="D12" s="78"/>
      <c r="E12" s="74"/>
      <c r="F12" s="78"/>
      <c r="G12" s="74"/>
      <c r="H12" s="78"/>
      <c r="I12" s="74"/>
    </row>
    <row r="13" spans="1:9" ht="35" customHeight="1">
      <c r="B13" s="280"/>
      <c r="C13" s="64" t="s">
        <v>137</v>
      </c>
      <c r="D13" s="79">
        <f>D11-D12</f>
        <v>0</v>
      </c>
      <c r="E13" s="40" t="s">
        <v>141</v>
      </c>
      <c r="F13" s="79">
        <f>F11-F12</f>
        <v>0</v>
      </c>
      <c r="G13" s="40" t="s">
        <v>141</v>
      </c>
      <c r="H13" s="79">
        <f>H11-H12</f>
        <v>0</v>
      </c>
      <c r="I13" s="40" t="s">
        <v>141</v>
      </c>
    </row>
    <row r="14" spans="1:9" ht="35" customHeight="1">
      <c r="B14" s="280"/>
      <c r="C14" s="64" t="s">
        <v>138</v>
      </c>
      <c r="D14" s="79" t="e">
        <f>D13*'表P｜用電統計'!$G5/10000</f>
        <v>#DIV/0!</v>
      </c>
      <c r="E14" s="40" t="s">
        <v>142</v>
      </c>
      <c r="F14" s="79" t="e">
        <f>F13*'表P｜用電統計'!$G5/10000</f>
        <v>#DIV/0!</v>
      </c>
      <c r="G14" s="40" t="s">
        <v>142</v>
      </c>
      <c r="H14" s="79" t="e">
        <f>H13*'表P｜用電統計'!$G5/10000</f>
        <v>#DIV/0!</v>
      </c>
      <c r="I14" s="40" t="s">
        <v>142</v>
      </c>
    </row>
    <row r="15" spans="1:9" ht="35" customHeight="1">
      <c r="B15" s="280"/>
      <c r="C15" s="64" t="s">
        <v>173</v>
      </c>
      <c r="D15" s="76" t="e">
        <f>D13*#REF!/1000</f>
        <v>#REF!</v>
      </c>
      <c r="E15" s="40" t="s">
        <v>143</v>
      </c>
      <c r="F15" s="76" t="e">
        <f>F13*#REF!/1000</f>
        <v>#REF!</v>
      </c>
      <c r="G15" s="40" t="s">
        <v>143</v>
      </c>
      <c r="H15" s="76" t="e">
        <f>H13*#REF!/1000</f>
        <v>#REF!</v>
      </c>
      <c r="I15" s="40" t="s">
        <v>143</v>
      </c>
    </row>
    <row r="16" spans="1:9" ht="35" customHeight="1">
      <c r="B16" s="280"/>
      <c r="C16" s="64" t="s">
        <v>139</v>
      </c>
      <c r="D16" s="75" t="e">
        <f>D13/D11</f>
        <v>#DIV/0!</v>
      </c>
      <c r="E16" s="40" t="s">
        <v>145</v>
      </c>
      <c r="F16" s="75" t="e">
        <f>F13/F11</f>
        <v>#DIV/0!</v>
      </c>
      <c r="G16" s="40" t="s">
        <v>145</v>
      </c>
      <c r="H16" s="75" t="e">
        <f>H13/H11</f>
        <v>#DIV/0!</v>
      </c>
      <c r="I16" s="40" t="s">
        <v>145</v>
      </c>
    </row>
    <row r="17" spans="2:9" ht="35" customHeight="1">
      <c r="B17" s="280"/>
      <c r="C17" s="64" t="s">
        <v>52</v>
      </c>
      <c r="D17" s="77" t="e">
        <f>D7/D14</f>
        <v>#DIV/0!</v>
      </c>
      <c r="E17" s="40" t="s">
        <v>146</v>
      </c>
      <c r="F17" s="77" t="e">
        <f>F7/F14</f>
        <v>#DIV/0!</v>
      </c>
      <c r="G17" s="40" t="s">
        <v>146</v>
      </c>
      <c r="H17" s="77" t="e">
        <f>H7/H14</f>
        <v>#DIV/0!</v>
      </c>
      <c r="I17" s="40" t="s">
        <v>146</v>
      </c>
    </row>
    <row r="18" spans="2:9" ht="25" customHeight="1">
      <c r="B18" s="280" t="s">
        <v>295</v>
      </c>
      <c r="C18" s="73" t="s">
        <v>291</v>
      </c>
      <c r="D18" s="260"/>
      <c r="E18" s="260"/>
      <c r="F18" s="260"/>
      <c r="G18" s="260"/>
      <c r="H18" s="260"/>
      <c r="I18" s="260"/>
    </row>
    <row r="19" spans="2:9" ht="25" customHeight="1">
      <c r="B19" s="280"/>
      <c r="C19" s="65" t="s">
        <v>292</v>
      </c>
      <c r="D19" s="292"/>
      <c r="E19" s="292"/>
      <c r="F19" s="292"/>
      <c r="G19" s="292"/>
      <c r="H19" s="292"/>
      <c r="I19" s="292"/>
    </row>
    <row r="20" spans="2:9" ht="25" customHeight="1" thickBot="1">
      <c r="B20" s="295"/>
      <c r="C20" s="66" t="s">
        <v>293</v>
      </c>
      <c r="D20" s="296"/>
      <c r="E20" s="297"/>
      <c r="F20" s="296"/>
      <c r="G20" s="297"/>
      <c r="H20" s="296"/>
      <c r="I20" s="297"/>
    </row>
    <row r="21" spans="2:9" ht="100" customHeight="1">
      <c r="B21" s="290" t="s">
        <v>298</v>
      </c>
      <c r="C21" s="290"/>
      <c r="D21" s="290"/>
      <c r="E21" s="290"/>
      <c r="F21" s="290"/>
      <c r="G21" s="290"/>
      <c r="H21" s="111"/>
      <c r="I21" s="111"/>
    </row>
    <row r="22" spans="2:9" ht="15.5" customHeight="1">
      <c r="B22" s="286" t="s">
        <v>296</v>
      </c>
      <c r="C22" s="286"/>
      <c r="D22" s="286"/>
      <c r="E22" s="286"/>
    </row>
    <row r="23" spans="2:9">
      <c r="B23" s="234" t="s">
        <v>41</v>
      </c>
      <c r="C23" s="234"/>
      <c r="D23" s="234"/>
      <c r="E23" s="234"/>
      <c r="F23" s="112"/>
      <c r="G23" s="112"/>
      <c r="H23" s="112"/>
      <c r="I23" s="112"/>
    </row>
  </sheetData>
  <mergeCells count="47">
    <mergeCell ref="B1:I1"/>
    <mergeCell ref="B18:B20"/>
    <mergeCell ref="D18:E18"/>
    <mergeCell ref="D19:E19"/>
    <mergeCell ref="D20:E20"/>
    <mergeCell ref="F18:G18"/>
    <mergeCell ref="F19:G19"/>
    <mergeCell ref="F20:G20"/>
    <mergeCell ref="H18:I18"/>
    <mergeCell ref="H19:I19"/>
    <mergeCell ref="H20:I20"/>
    <mergeCell ref="F7:G7"/>
    <mergeCell ref="F8:G8"/>
    <mergeCell ref="F9:G9"/>
    <mergeCell ref="H2:I2"/>
    <mergeCell ref="H3:I3"/>
    <mergeCell ref="H4:I4"/>
    <mergeCell ref="H5:I5"/>
    <mergeCell ref="H6:I6"/>
    <mergeCell ref="H7:I7"/>
    <mergeCell ref="H8:I8"/>
    <mergeCell ref="H9:I9"/>
    <mergeCell ref="F5:G5"/>
    <mergeCell ref="F6:G6"/>
    <mergeCell ref="B2:C2"/>
    <mergeCell ref="D2:E2"/>
    <mergeCell ref="F2:G2"/>
    <mergeCell ref="F3:G3"/>
    <mergeCell ref="F4:G4"/>
    <mergeCell ref="B3:C3"/>
    <mergeCell ref="B4:C4"/>
    <mergeCell ref="D3:E3"/>
    <mergeCell ref="D4:E4"/>
    <mergeCell ref="B22:E22"/>
    <mergeCell ref="B23:E23"/>
    <mergeCell ref="B10:B17"/>
    <mergeCell ref="D8:E8"/>
    <mergeCell ref="D9:E9"/>
    <mergeCell ref="B9:C9"/>
    <mergeCell ref="B21:G21"/>
    <mergeCell ref="B5:C5"/>
    <mergeCell ref="D5:E5"/>
    <mergeCell ref="D6:E6"/>
    <mergeCell ref="D7:E7"/>
    <mergeCell ref="B8:C8"/>
    <mergeCell ref="B6:C6"/>
    <mergeCell ref="B7:C7"/>
  </mergeCells>
  <phoneticPr fontId="1" type="noConversion"/>
  <dataValidations count="2">
    <dataValidation type="list" allowBlank="1" showInputMessage="1" showErrorMessage="1" sqref="D3:I3" xr:uid="{D983A930-BA08-4E73-B932-D7C5A651140D}">
      <formula1>#REF!</formula1>
    </dataValidation>
    <dataValidation type="list" allowBlank="1" showInputMessage="1" showErrorMessage="1" sqref="D5:I5 D18:I18" xr:uid="{489FF86D-9E5A-4CB2-A898-751CA8B57E80}">
      <formula1>#REF!</formula1>
    </dataValidation>
  </dataValidations>
  <hyperlinks>
    <hyperlink ref="A2" location="目錄!A1" display="回目錄頁 ↩" xr:uid="{7E057909-9B80-4A8B-B16A-8B8D6E94315E}"/>
    <hyperlink ref="A3" location="預設選單欄位設定!A1" display="預設選單欄位設定 ➠" xr:uid="{78B5A766-DA39-4F92-AC4E-5AA163097764}"/>
  </hyperlinks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49" fitToWidth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D982-7F53-4E3B-B3F6-4D2FBE2BAA82}">
  <sheetPr>
    <tabColor rgb="FFFFFDCB"/>
    <pageSetUpPr fitToPage="1"/>
  </sheetPr>
  <dimension ref="A1:M35"/>
  <sheetViews>
    <sheetView zoomScale="85" zoomScaleNormal="85" workbookViewId="0">
      <selection activeCell="F20" sqref="F20"/>
    </sheetView>
  </sheetViews>
  <sheetFormatPr defaultRowHeight="17"/>
  <cols>
    <col min="2" max="6" width="25.08984375" customWidth="1"/>
    <col min="13" max="13" width="0" hidden="1" customWidth="1"/>
  </cols>
  <sheetData>
    <row r="1" spans="1:6" ht="21.5">
      <c r="A1" s="299" t="s">
        <v>318</v>
      </c>
      <c r="B1" s="299"/>
      <c r="C1" s="299"/>
      <c r="D1" s="299"/>
      <c r="E1" s="299"/>
      <c r="F1" s="299"/>
    </row>
    <row r="3" spans="1:6" ht="19.5">
      <c r="A3" s="12" t="s">
        <v>75</v>
      </c>
      <c r="B3" s="12"/>
      <c r="C3" s="12"/>
    </row>
    <row r="4" spans="1:6" ht="19.5">
      <c r="A4" s="311" t="s">
        <v>73</v>
      </c>
      <c r="B4" s="311"/>
      <c r="C4" s="311"/>
    </row>
    <row r="5" spans="1:6" ht="19.5">
      <c r="A5" s="311" t="s">
        <v>74</v>
      </c>
      <c r="B5" s="311"/>
      <c r="C5" s="311"/>
    </row>
    <row r="6" spans="1:6" ht="17.5" thickBot="1"/>
    <row r="7" spans="1:6" ht="20" customHeight="1" thickTop="1" thickBot="1">
      <c r="A7" s="312" t="s">
        <v>27</v>
      </c>
      <c r="B7" s="313"/>
      <c r="C7" s="1" t="s">
        <v>28</v>
      </c>
      <c r="D7" s="1" t="s">
        <v>29</v>
      </c>
      <c r="E7" s="1" t="s">
        <v>30</v>
      </c>
      <c r="F7" s="2" t="s">
        <v>31</v>
      </c>
    </row>
    <row r="8" spans="1:6" ht="20" customHeight="1" thickTop="1" thickBot="1">
      <c r="A8" s="314" t="s">
        <v>32</v>
      </c>
      <c r="B8" s="315"/>
      <c r="C8" s="13">
        <f>'表T｜成效彙總表'!D3</f>
        <v>0</v>
      </c>
      <c r="D8" s="13">
        <f>'表T｜成效彙總表'!E3</f>
        <v>0</v>
      </c>
      <c r="E8" s="13">
        <f>'表T｜成效彙總表'!F3</f>
        <v>0</v>
      </c>
      <c r="F8" s="14">
        <f>'表T｜成效彙總表'!G3</f>
        <v>0</v>
      </c>
    </row>
    <row r="9" spans="1:6" ht="20" customHeight="1" thickBot="1">
      <c r="A9" s="309" t="s">
        <v>38</v>
      </c>
      <c r="B9" s="310"/>
      <c r="C9" s="13">
        <f>'表T｜成效彙總表'!D4</f>
        <v>0</v>
      </c>
      <c r="D9" s="13">
        <f>'表T｜成效彙總表'!E4</f>
        <v>0</v>
      </c>
      <c r="E9" s="13">
        <f>'表T｜成效彙總表'!F4</f>
        <v>0</v>
      </c>
      <c r="F9" s="14">
        <f>'表T｜成效彙總表'!G4</f>
        <v>0</v>
      </c>
    </row>
    <row r="10" spans="1:6" ht="20" customHeight="1" thickTop="1" thickBot="1">
      <c r="A10" s="309" t="s">
        <v>22</v>
      </c>
      <c r="B10" s="310"/>
      <c r="C10" s="15">
        <f>'表T｜成效彙總表'!D5</f>
        <v>0</v>
      </c>
      <c r="D10" s="15">
        <f>'表T｜成效彙總表'!E5</f>
        <v>0</v>
      </c>
      <c r="E10" s="15">
        <f>'表T｜成效彙總表'!F5</f>
        <v>0</v>
      </c>
      <c r="F10" s="16">
        <f>'表T｜成效彙總表'!G5</f>
        <v>0</v>
      </c>
    </row>
    <row r="11" spans="1:6" ht="24.5" customHeight="1" thickTop="1" thickBot="1">
      <c r="A11" s="316" t="s">
        <v>76</v>
      </c>
      <c r="B11" s="4" t="s">
        <v>33</v>
      </c>
      <c r="C11" s="13">
        <f>'表T｜成效彙總表'!D13</f>
        <v>0</v>
      </c>
      <c r="D11" s="13">
        <f>'表T｜成效彙總表'!E13</f>
        <v>0</v>
      </c>
      <c r="E11" s="13">
        <f>'表T｜成效彙總表'!F13</f>
        <v>0</v>
      </c>
      <c r="F11" s="14">
        <f>'表T｜成效彙總表'!G13</f>
        <v>0</v>
      </c>
    </row>
    <row r="12" spans="1:6" ht="24.5" customHeight="1" thickBot="1">
      <c r="A12" s="317"/>
      <c r="B12" s="4" t="s">
        <v>34</v>
      </c>
      <c r="C12" s="13">
        <f>'表T｜成效彙總表'!D14</f>
        <v>0</v>
      </c>
      <c r="D12" s="13">
        <f>'表T｜成效彙總表'!E14</f>
        <v>0</v>
      </c>
      <c r="E12" s="13">
        <f>'表T｜成效彙總表'!F14</f>
        <v>0</v>
      </c>
      <c r="F12" s="14">
        <f>'表T｜成效彙總表'!G14</f>
        <v>0</v>
      </c>
    </row>
    <row r="13" spans="1:6" ht="24.5" customHeight="1" thickBot="1">
      <c r="A13" s="318"/>
      <c r="B13" s="7" t="s">
        <v>35</v>
      </c>
      <c r="C13" s="15" t="e">
        <f>'表T｜成效彙總表'!D15</f>
        <v>#DIV/0!</v>
      </c>
      <c r="D13" s="15" t="e">
        <f>'表T｜成效彙總表'!E15</f>
        <v>#DIV/0!</v>
      </c>
      <c r="E13" s="15" t="e">
        <f>'表T｜成效彙總表'!F15</f>
        <v>#DIV/0!</v>
      </c>
      <c r="F13" s="16" t="e">
        <f>'表T｜成效彙總表'!G15</f>
        <v>#DIV/0!</v>
      </c>
    </row>
    <row r="14" spans="1:6" ht="20" customHeight="1" thickTop="1">
      <c r="A14" s="316" t="s">
        <v>36</v>
      </c>
      <c r="B14" s="320" t="s">
        <v>37</v>
      </c>
      <c r="C14" s="300" t="s">
        <v>77</v>
      </c>
      <c r="D14" s="303" t="s">
        <v>77</v>
      </c>
      <c r="E14" s="303" t="s">
        <v>77</v>
      </c>
      <c r="F14" s="306" t="s">
        <v>12</v>
      </c>
    </row>
    <row r="15" spans="1:6" ht="20" customHeight="1">
      <c r="A15" s="317"/>
      <c r="B15" s="321"/>
      <c r="C15" s="301"/>
      <c r="D15" s="304"/>
      <c r="E15" s="304"/>
      <c r="F15" s="307"/>
    </row>
    <row r="16" spans="1:6" ht="20" customHeight="1" thickBot="1">
      <c r="A16" s="317"/>
      <c r="B16" s="322"/>
      <c r="C16" s="302"/>
      <c r="D16" s="305"/>
      <c r="E16" s="305"/>
      <c r="F16" s="308"/>
    </row>
    <row r="17" spans="1:13" ht="20" customHeight="1" thickBot="1">
      <c r="A17" s="317"/>
      <c r="B17" s="4" t="s">
        <v>33</v>
      </c>
      <c r="C17" s="5"/>
      <c r="D17" s="5"/>
      <c r="E17" s="5"/>
      <c r="F17" s="6"/>
    </row>
    <row r="18" spans="1:13" ht="20" customHeight="1" thickBot="1">
      <c r="A18" s="317"/>
      <c r="B18" s="4" t="s">
        <v>34</v>
      </c>
      <c r="C18" s="5"/>
      <c r="D18" s="5"/>
      <c r="E18" s="5"/>
      <c r="F18" s="6"/>
    </row>
    <row r="19" spans="1:13" ht="20" customHeight="1" thickBot="1">
      <c r="A19" s="319"/>
      <c r="B19" s="8" t="s">
        <v>35</v>
      </c>
      <c r="C19" s="9"/>
      <c r="D19" s="9"/>
      <c r="E19" s="9"/>
      <c r="F19" s="10"/>
    </row>
    <row r="20" spans="1:13" ht="17.5" thickTop="1"/>
    <row r="22" spans="1:13">
      <c r="A22" s="298"/>
      <c r="B22" s="298"/>
      <c r="C22" s="298"/>
      <c r="D22" s="298"/>
      <c r="E22" s="298"/>
    </row>
    <row r="32" spans="1:13">
      <c r="M32" t="s">
        <v>26</v>
      </c>
    </row>
    <row r="33" spans="13:13">
      <c r="M33" t="s">
        <v>23</v>
      </c>
    </row>
    <row r="34" spans="13:13">
      <c r="M34" t="s">
        <v>24</v>
      </c>
    </row>
    <row r="35" spans="13:13">
      <c r="M35" t="s">
        <v>25</v>
      </c>
    </row>
  </sheetData>
  <mergeCells count="15">
    <mergeCell ref="A22:E22"/>
    <mergeCell ref="A1:F1"/>
    <mergeCell ref="C14:C16"/>
    <mergeCell ref="D14:D16"/>
    <mergeCell ref="E14:E16"/>
    <mergeCell ref="F14:F16"/>
    <mergeCell ref="A9:B9"/>
    <mergeCell ref="A4:C4"/>
    <mergeCell ref="A5:C5"/>
    <mergeCell ref="A7:B7"/>
    <mergeCell ref="A8:B8"/>
    <mergeCell ref="A10:B10"/>
    <mergeCell ref="A11:A13"/>
    <mergeCell ref="A14:A19"/>
    <mergeCell ref="B14:B16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7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71DA-1B34-43E0-918B-FCDEC7865E82}">
  <sheetPr>
    <tabColor rgb="FFFFFDCB"/>
    <pageSetUpPr fitToPage="1"/>
  </sheetPr>
  <dimension ref="A1:Q29"/>
  <sheetViews>
    <sheetView zoomScale="85" zoomScaleNormal="85" workbookViewId="0">
      <selection activeCell="J8" sqref="J8"/>
    </sheetView>
  </sheetViews>
  <sheetFormatPr defaultRowHeight="15.5"/>
  <cols>
    <col min="1" max="1" width="20.6328125" style="17" customWidth="1"/>
    <col min="2" max="2" width="8.7265625" style="17"/>
    <col min="3" max="3" width="26.81640625" style="17" customWidth="1"/>
    <col min="4" max="7" width="16.54296875" style="17" customWidth="1"/>
    <col min="8" max="14" width="8.7265625" style="17"/>
    <col min="15" max="15" width="8.7265625" style="17" hidden="1" customWidth="1"/>
    <col min="16" max="16" width="0" style="17" hidden="1" customWidth="1"/>
    <col min="17" max="17" width="20.6328125" style="17" hidden="1" customWidth="1"/>
    <col min="18" max="16384" width="8.7265625" style="17"/>
  </cols>
  <sheetData>
    <row r="1" spans="1:7" s="45" customFormat="1" ht="40" customHeight="1" thickBot="1">
      <c r="B1" s="180" t="s">
        <v>147</v>
      </c>
      <c r="C1" s="181"/>
      <c r="D1" s="181"/>
      <c r="E1" s="181"/>
      <c r="F1" s="181"/>
      <c r="G1" s="182"/>
    </row>
    <row r="2" spans="1:7" ht="16">
      <c r="A2" s="50" t="s">
        <v>151</v>
      </c>
      <c r="B2" s="325" t="s">
        <v>27</v>
      </c>
      <c r="C2" s="326"/>
      <c r="D2" s="89" t="s">
        <v>53</v>
      </c>
      <c r="E2" s="89" t="s">
        <v>54</v>
      </c>
      <c r="F2" s="89" t="s">
        <v>55</v>
      </c>
      <c r="G2" s="90" t="s">
        <v>31</v>
      </c>
    </row>
    <row r="3" spans="1:7" ht="18" customHeight="1">
      <c r="A3" s="50" t="s">
        <v>152</v>
      </c>
      <c r="B3" s="268" t="s">
        <v>32</v>
      </c>
      <c r="C3" s="323"/>
      <c r="D3" s="82">
        <f>'表S-1｜節能措施'!D3</f>
        <v>0</v>
      </c>
      <c r="E3" s="82">
        <f>'表S-1｜節能措施'!F3</f>
        <v>0</v>
      </c>
      <c r="F3" s="82">
        <f>'表S-1｜節能措施'!H3</f>
        <v>0</v>
      </c>
      <c r="G3" s="83">
        <f>SUM(D3:F3)</f>
        <v>0</v>
      </c>
    </row>
    <row r="4" spans="1:7" ht="18" customHeight="1">
      <c r="A4" s="46" t="s">
        <v>154</v>
      </c>
      <c r="B4" s="268" t="s">
        <v>38</v>
      </c>
      <c r="C4" s="323"/>
      <c r="D4" s="82">
        <f>'表S-1｜節能措施'!D5</f>
        <v>0</v>
      </c>
      <c r="E4" s="82">
        <f>'表S-1｜節能措施'!F5</f>
        <v>0</v>
      </c>
      <c r="F4" s="82">
        <f>'表S-1｜節能措施'!H5</f>
        <v>0</v>
      </c>
      <c r="G4" s="83">
        <f>SUM(D4:F4)</f>
        <v>0</v>
      </c>
    </row>
    <row r="5" spans="1:7" ht="40" customHeight="1">
      <c r="A5" s="47" t="s">
        <v>160</v>
      </c>
      <c r="B5" s="268" t="s">
        <v>22</v>
      </c>
      <c r="C5" s="323"/>
      <c r="D5" s="144">
        <f>'表S-1｜節能措施'!D6</f>
        <v>0</v>
      </c>
      <c r="E5" s="144">
        <f>'表S-1｜節能措施'!F6</f>
        <v>0</v>
      </c>
      <c r="F5" s="144">
        <f>'表S-1｜節能措施'!H6</f>
        <v>0</v>
      </c>
      <c r="G5" s="145">
        <f>SUM(D5:F5)</f>
        <v>0</v>
      </c>
    </row>
    <row r="6" spans="1:7" ht="17.5" customHeight="1" thickBot="1">
      <c r="A6" s="48" t="s">
        <v>149</v>
      </c>
      <c r="B6" s="272" t="s">
        <v>56</v>
      </c>
      <c r="C6" s="324"/>
      <c r="D6" s="91" t="e">
        <f>'表P｜用電統計'!$G5</f>
        <v>#DIV/0!</v>
      </c>
      <c r="E6" s="91" t="e">
        <f>'表P｜用電統計'!$G5</f>
        <v>#DIV/0!</v>
      </c>
      <c r="F6" s="91" t="e">
        <f>'表P｜用電統計'!$G5</f>
        <v>#DIV/0!</v>
      </c>
      <c r="G6" s="92" t="s">
        <v>12</v>
      </c>
    </row>
    <row r="7" spans="1:7" ht="16">
      <c r="B7" s="325" t="s">
        <v>57</v>
      </c>
      <c r="C7" s="326"/>
      <c r="D7" s="93">
        <f>'表S-1｜節能措施'!D11</f>
        <v>0</v>
      </c>
      <c r="E7" s="93">
        <f>'表S-1｜節能措施'!F11</f>
        <v>0</v>
      </c>
      <c r="F7" s="93">
        <f>'表S-1｜節能措施'!H11</f>
        <v>0</v>
      </c>
      <c r="G7" s="94">
        <f t="shared" ref="G7:G12" si="0">SUM(D7:F7)</f>
        <v>0</v>
      </c>
    </row>
    <row r="8" spans="1:7" ht="16">
      <c r="B8" s="268" t="s">
        <v>58</v>
      </c>
      <c r="C8" s="323"/>
      <c r="D8" s="86">
        <f>D7*0.0000956</f>
        <v>0</v>
      </c>
      <c r="E8" s="86">
        <f>E7*0.0000956</f>
        <v>0</v>
      </c>
      <c r="F8" s="86">
        <f>F7*0.0000956</f>
        <v>0</v>
      </c>
      <c r="G8" s="87">
        <f t="shared" si="0"/>
        <v>0</v>
      </c>
    </row>
    <row r="9" spans="1:7" ht="16.5" thickBot="1">
      <c r="B9" s="272" t="s">
        <v>59</v>
      </c>
      <c r="C9" s="324"/>
      <c r="D9" s="95" t="e">
        <f>D6*D7</f>
        <v>#DIV/0!</v>
      </c>
      <c r="E9" s="95" t="e">
        <f>E6*E7</f>
        <v>#DIV/0!</v>
      </c>
      <c r="F9" s="95" t="e">
        <f>F6*F7</f>
        <v>#DIV/0!</v>
      </c>
      <c r="G9" s="96" t="e">
        <f t="shared" si="0"/>
        <v>#DIV/0!</v>
      </c>
    </row>
    <row r="10" spans="1:7" ht="16">
      <c r="B10" s="325" t="s">
        <v>60</v>
      </c>
      <c r="C10" s="326"/>
      <c r="D10" s="93">
        <f>'表S-1｜節能措施'!D12</f>
        <v>0</v>
      </c>
      <c r="E10" s="93">
        <f>'表S-1｜節能措施'!F12</f>
        <v>0</v>
      </c>
      <c r="F10" s="93">
        <f>'表S-1｜節能措施'!H12</f>
        <v>0</v>
      </c>
      <c r="G10" s="94">
        <f t="shared" si="0"/>
        <v>0</v>
      </c>
    </row>
    <row r="11" spans="1:7" ht="16">
      <c r="B11" s="268" t="s">
        <v>61</v>
      </c>
      <c r="C11" s="323"/>
      <c r="D11" s="86">
        <f>D10*0.0000956</f>
        <v>0</v>
      </c>
      <c r="E11" s="86">
        <f>E10*0.0000956</f>
        <v>0</v>
      </c>
      <c r="F11" s="86">
        <f>F10*0.0000956</f>
        <v>0</v>
      </c>
      <c r="G11" s="87">
        <f t="shared" si="0"/>
        <v>0</v>
      </c>
    </row>
    <row r="12" spans="1:7" ht="16.5" thickBot="1">
      <c r="B12" s="272" t="s">
        <v>62</v>
      </c>
      <c r="C12" s="324"/>
      <c r="D12" s="95" t="e">
        <f>D6*D10</f>
        <v>#DIV/0!</v>
      </c>
      <c r="E12" s="95" t="e">
        <f>E6*E10</f>
        <v>#DIV/0!</v>
      </c>
      <c r="F12" s="95" t="e">
        <f>F6*F10</f>
        <v>#DIV/0!</v>
      </c>
      <c r="G12" s="96" t="e">
        <f t="shared" si="0"/>
        <v>#DIV/0!</v>
      </c>
    </row>
    <row r="13" spans="1:7" ht="16">
      <c r="B13" s="325" t="s">
        <v>63</v>
      </c>
      <c r="C13" s="326"/>
      <c r="D13" s="93">
        <f t="shared" ref="D13:G13" si="1">D7-D10</f>
        <v>0</v>
      </c>
      <c r="E13" s="93">
        <f t="shared" si="1"/>
        <v>0</v>
      </c>
      <c r="F13" s="93">
        <f t="shared" si="1"/>
        <v>0</v>
      </c>
      <c r="G13" s="94">
        <f t="shared" si="1"/>
        <v>0</v>
      </c>
    </row>
    <row r="14" spans="1:7" ht="16">
      <c r="B14" s="268" t="s">
        <v>64</v>
      </c>
      <c r="C14" s="323"/>
      <c r="D14" s="86">
        <f t="shared" ref="D14:G15" si="2">D8-D11</f>
        <v>0</v>
      </c>
      <c r="E14" s="86">
        <f t="shared" si="2"/>
        <v>0</v>
      </c>
      <c r="F14" s="86">
        <f t="shared" si="2"/>
        <v>0</v>
      </c>
      <c r="G14" s="87">
        <f t="shared" si="2"/>
        <v>0</v>
      </c>
    </row>
    <row r="15" spans="1:7" ht="16">
      <c r="B15" s="268" t="s">
        <v>65</v>
      </c>
      <c r="C15" s="323"/>
      <c r="D15" s="84" t="e">
        <f t="shared" si="2"/>
        <v>#DIV/0!</v>
      </c>
      <c r="E15" s="84" t="e">
        <f t="shared" si="2"/>
        <v>#DIV/0!</v>
      </c>
      <c r="F15" s="84" t="e">
        <f t="shared" si="2"/>
        <v>#DIV/0!</v>
      </c>
      <c r="G15" s="85" t="e">
        <f>SUM(D15:F15)</f>
        <v>#DIV/0!</v>
      </c>
    </row>
    <row r="16" spans="1:7" ht="16">
      <c r="B16" s="268" t="s">
        <v>66</v>
      </c>
      <c r="C16" s="323"/>
      <c r="D16" s="88" t="e">
        <f>D15/D9</f>
        <v>#DIV/0!</v>
      </c>
      <c r="E16" s="88" t="e">
        <f>E15/E9</f>
        <v>#DIV/0!</v>
      </c>
      <c r="F16" s="88" t="e">
        <f>F15/F9</f>
        <v>#DIV/0!</v>
      </c>
      <c r="G16" s="83" t="s">
        <v>12</v>
      </c>
    </row>
    <row r="17" spans="2:17" ht="16">
      <c r="B17" s="268" t="s">
        <v>67</v>
      </c>
      <c r="C17" s="323"/>
      <c r="D17" s="88" t="e">
        <f>D13/D7</f>
        <v>#DIV/0!</v>
      </c>
      <c r="E17" s="88" t="e">
        <f>E13/E7</f>
        <v>#DIV/0!</v>
      </c>
      <c r="F17" s="88" t="e">
        <f>F13/F7</f>
        <v>#DIV/0!</v>
      </c>
      <c r="G17" s="83" t="s">
        <v>12</v>
      </c>
    </row>
    <row r="18" spans="2:17" ht="18" customHeight="1" thickBot="1">
      <c r="B18" s="272" t="s">
        <v>175</v>
      </c>
      <c r="C18" s="324"/>
      <c r="D18" s="142" t="e">
        <f>D13*#REF!/1000</f>
        <v>#REF!</v>
      </c>
      <c r="E18" s="142" t="e">
        <f>E13*#REF!/1000</f>
        <v>#REF!</v>
      </c>
      <c r="F18" s="142" t="e">
        <f>F13*#REF!/1000</f>
        <v>#REF!</v>
      </c>
      <c r="G18" s="143" t="e">
        <f>SUM(D18:F18)</f>
        <v>#REF!</v>
      </c>
    </row>
    <row r="19" spans="2:17" ht="16">
      <c r="B19" s="325" t="s">
        <v>68</v>
      </c>
      <c r="C19" s="326"/>
      <c r="D19" s="140">
        <f>'表S-1｜節能措施'!D7</f>
        <v>0</v>
      </c>
      <c r="E19" s="140">
        <f>'表S-1｜節能措施'!F7</f>
        <v>0</v>
      </c>
      <c r="F19" s="140">
        <f>'表S-1｜節能措施'!H7</f>
        <v>0</v>
      </c>
      <c r="G19" s="141">
        <f>SUM(D19:F19)</f>
        <v>0</v>
      </c>
    </row>
    <row r="20" spans="2:17" ht="16">
      <c r="B20" s="268" t="s">
        <v>174</v>
      </c>
      <c r="C20" s="64" t="s">
        <v>69</v>
      </c>
      <c r="D20" s="82">
        <f>'表S-1｜節能措施'!D18</f>
        <v>0</v>
      </c>
      <c r="E20" s="82">
        <f>'表S-1｜節能措施'!F18</f>
        <v>0</v>
      </c>
      <c r="F20" s="82">
        <f>'表S-1｜節能措施'!H18</f>
        <v>0</v>
      </c>
      <c r="G20" s="83" t="s">
        <v>12</v>
      </c>
    </row>
    <row r="21" spans="2:17" ht="16">
      <c r="B21" s="280"/>
      <c r="C21" s="64" t="s">
        <v>70</v>
      </c>
      <c r="D21" s="97">
        <f>'表S-1｜節能措施'!D19</f>
        <v>0</v>
      </c>
      <c r="E21" s="82">
        <f>'表S-1｜節能措施'!F19</f>
        <v>0</v>
      </c>
      <c r="F21" s="82">
        <f>'表S-1｜節能措施'!H19</f>
        <v>0</v>
      </c>
      <c r="G21" s="83" t="s">
        <v>12</v>
      </c>
    </row>
    <row r="22" spans="2:17" ht="16.5" thickBot="1">
      <c r="B22" s="329"/>
      <c r="C22" s="98" t="s">
        <v>71</v>
      </c>
      <c r="D22" s="99">
        <f>'表S-1｜節能措施'!D20</f>
        <v>0</v>
      </c>
      <c r="E22" s="100">
        <f>'表S-1｜節能措施'!F20</f>
        <v>0</v>
      </c>
      <c r="F22" s="100">
        <f>'表S-1｜節能措施'!H20</f>
        <v>0</v>
      </c>
      <c r="G22" s="101" t="s">
        <v>12</v>
      </c>
    </row>
    <row r="23" spans="2:17" ht="16.5" thickBot="1">
      <c r="B23" s="327" t="s">
        <v>72</v>
      </c>
      <c r="C23" s="328"/>
      <c r="D23" s="102" t="e">
        <f>D19*10000/D15</f>
        <v>#DIV/0!</v>
      </c>
      <c r="E23" s="102" t="e">
        <f t="shared" ref="E23:F23" si="3">E19*10000/E15</f>
        <v>#DIV/0!</v>
      </c>
      <c r="F23" s="102" t="e">
        <f t="shared" si="3"/>
        <v>#DIV/0!</v>
      </c>
      <c r="G23" s="148"/>
    </row>
    <row r="24" spans="2:17" ht="18.5" thickBot="1">
      <c r="Q24" s="41" t="s">
        <v>17</v>
      </c>
    </row>
    <row r="25" spans="2:17" ht="18.5" thickBot="1">
      <c r="O25" s="17" t="s">
        <v>78</v>
      </c>
      <c r="Q25" s="42" t="s">
        <v>18</v>
      </c>
    </row>
    <row r="26" spans="2:17" ht="18.5" thickBot="1">
      <c r="O26" s="17" t="s">
        <v>79</v>
      </c>
      <c r="Q26" s="42" t="s">
        <v>19</v>
      </c>
    </row>
    <row r="27" spans="2:17" ht="18.5" thickBot="1">
      <c r="O27" s="17" t="s">
        <v>80</v>
      </c>
      <c r="Q27" s="42" t="s">
        <v>20</v>
      </c>
    </row>
    <row r="28" spans="2:17" ht="18.5" thickBot="1">
      <c r="O28" s="17" t="s">
        <v>81</v>
      </c>
      <c r="Q28" s="42" t="s">
        <v>21</v>
      </c>
    </row>
    <row r="29" spans="2:17" ht="18.5" thickBot="1">
      <c r="Q29" s="42" t="s">
        <v>85</v>
      </c>
    </row>
  </sheetData>
  <mergeCells count="21">
    <mergeCell ref="B4:C4"/>
    <mergeCell ref="B23:C23"/>
    <mergeCell ref="B1:G1"/>
    <mergeCell ref="B19:C19"/>
    <mergeCell ref="B18:C18"/>
    <mergeCell ref="B17:C17"/>
    <mergeCell ref="B16:C16"/>
    <mergeCell ref="B20:B22"/>
    <mergeCell ref="B2:C2"/>
    <mergeCell ref="B3:C3"/>
    <mergeCell ref="B5:C5"/>
    <mergeCell ref="B6:C6"/>
    <mergeCell ref="B7:C7"/>
    <mergeCell ref="B8:C8"/>
    <mergeCell ref="B9:C9"/>
    <mergeCell ref="B10:C10"/>
    <mergeCell ref="B11:C11"/>
    <mergeCell ref="B12:C12"/>
    <mergeCell ref="B15:C15"/>
    <mergeCell ref="B14:C14"/>
    <mergeCell ref="B13:C13"/>
  </mergeCells>
  <phoneticPr fontId="1" type="noConversion"/>
  <hyperlinks>
    <hyperlink ref="A2" location="目錄!A1" display="回目錄頁 ↩" xr:uid="{71325EF1-DF7B-4E08-89D4-80E4A93A4F0A}"/>
    <hyperlink ref="A3" location="預設選單欄位設定!A1" display="預設選單欄位設定 ➠" xr:uid="{717ED979-8697-4DBC-A66B-0DE6B5A149DC}"/>
  </hyperlinks>
  <printOptions horizontalCentered="1" verticalCentered="1"/>
  <pageMargins left="0.23622047244094491" right="0.23622047244094491" top="0.35433070866141736" bottom="0.35433070866141736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8</vt:i4>
      </vt:variant>
    </vt:vector>
  </HeadingPairs>
  <TitlesOfParts>
    <vt:vector size="21" baseType="lpstr">
      <vt:lpstr>表Z｜基本資料</vt:lpstr>
      <vt:lpstr>表P｜用電統計</vt:lpstr>
      <vt:lpstr>表E｜能源設備盤查</vt:lpstr>
      <vt:lpstr>表A 冰水主機</vt:lpstr>
      <vt:lpstr>表B-1｜停車場風機</vt:lpstr>
      <vt:lpstr>表B-2｜屋頂風機</vt:lpstr>
      <vt:lpstr>表L｜照明</vt:lpstr>
      <vt:lpstr>表H-1｜熱泵</vt:lpstr>
      <vt:lpstr>表H-2｜鍋爐</vt:lpstr>
      <vt:lpstr>表PF｜電能</vt:lpstr>
      <vt:lpstr>表S-1｜節能措施</vt:lpstr>
      <vt:lpstr>表S-2｜節能措施追蹤</vt:lpstr>
      <vt:lpstr>表T｜成效彙總表</vt:lpstr>
      <vt:lpstr>'表E｜能源設備盤查'!Print_Area</vt:lpstr>
      <vt:lpstr>'表H-1｜熱泵'!Print_Area</vt:lpstr>
      <vt:lpstr>'表L｜照明'!Print_Area</vt:lpstr>
      <vt:lpstr>'表P｜用電統計'!Print_Area</vt:lpstr>
      <vt:lpstr>'表S-1｜節能措施'!Print_Area</vt:lpstr>
      <vt:lpstr>'表S-2｜節能措施追蹤'!Print_Area</vt:lpstr>
      <vt:lpstr>'表T｜成效彙總表'!Print_Area</vt:lpstr>
      <vt:lpstr>'表Z｜基本資料'!Print_Area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林正略</dc:creator>
  <cp:lastModifiedBy>user</cp:lastModifiedBy>
  <cp:lastPrinted>2026-03-06T04:31:13Z</cp:lastPrinted>
  <dcterms:created xsi:type="dcterms:W3CDTF">2025-12-12T08:27:31Z</dcterms:created>
  <dcterms:modified xsi:type="dcterms:W3CDTF">2026-08-11T09:24:14Z</dcterms:modified>
</cp:coreProperties>
</file>